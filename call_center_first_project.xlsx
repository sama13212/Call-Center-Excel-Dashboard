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slicers/slicer4.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202300"/>
  <mc:AlternateContent xmlns:mc="http://schemas.openxmlformats.org/markup-compatibility/2006">
    <mc:Choice Requires="x15">
      <x15ac:absPath xmlns:x15ac="http://schemas.microsoft.com/office/spreadsheetml/2010/11/ac" url="C:\Users\sama2\Downloads\"/>
    </mc:Choice>
  </mc:AlternateContent>
  <xr:revisionPtr revIDLastSave="0" documentId="13_ncr:1_{8A35AB50-918D-4D9B-9A87-E6C4BBFDD9E3}" xr6:coauthVersionLast="47" xr6:coauthVersionMax="47" xr10:uidLastSave="{00000000-0000-0000-0000-000000000000}"/>
  <bookViews>
    <workbookView xWindow="-120" yWindow="-120" windowWidth="24240" windowHeight="13020" firstSheet="1" activeTab="1" xr2:uid="{04B17E41-17AC-4220-915C-A2FF314B447D}"/>
  </bookViews>
  <sheets>
    <sheet name="pivit tables" sheetId="2" state="hidden" r:id="rId1"/>
    <sheet name="Home Page" sheetId="7" r:id="rId2"/>
    <sheet name="overview" sheetId="6" r:id="rId3"/>
    <sheet name="time analysis" sheetId="9" r:id="rId4"/>
    <sheet name="Recommendation" sheetId="13" state="hidden" r:id="rId5"/>
  </sheets>
  <definedNames>
    <definedName name="_xlchart.v1.0" hidden="1">'pivit tables'!$D$39:$D$40</definedName>
    <definedName name="_xlchart.v1.1" hidden="1">'pivit tables'!$E$39:$E$40</definedName>
    <definedName name="_xlchart.v1.2" hidden="1">'pivit tables'!$D$39:$D$40</definedName>
    <definedName name="_xlchart.v1.3" hidden="1">'pivit tables'!$E$39:$E$40</definedName>
    <definedName name="Slicer_Agent">#N/A</definedName>
    <definedName name="Slicer_Topic">#N/A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wc callcenter_54774286-a997-4f65-a61e-6cf1bb816b58" name="pwc callcenter" connection="Query - pwc callcenter"/>
          <x15:modelTable id="date_c2671044-4692-4d97-aadf-c18c235e4dc1" name="date" connection="Query - date"/>
        </x15:modelTables>
        <x15:modelRelationships>
          <x15:modelRelationship fromTable="pwc callcenter" fromColumn="Date" toTable="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40" i="2" l="1"/>
  <c r="D39" i="2"/>
  <c r="J11" i="2"/>
  <c r="J18" i="2"/>
  <c r="J5" i="2"/>
  <c r="E39" i="2"/>
  <c r="E40" i="2"/>
  <c r="L25" i="2"/>
  <c r="N5" i="2"/>
  <c r="J2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565A59-1327-4E5D-BB2D-A3E0A015E919}" name="Query - date" description="Connection to the 'date' query in the workbook." type="100" refreshedVersion="8" minRefreshableVersion="5">
    <extLst>
      <ext xmlns:x15="http://schemas.microsoft.com/office/spreadsheetml/2010/11/main" uri="{DE250136-89BD-433C-8126-D09CA5730AF9}">
        <x15:connection id="3577db95-7f7c-47eb-ae61-2227cd6fa8fc"/>
      </ext>
    </extLst>
  </connection>
  <connection id="2" xr16:uid="{512E1D27-659E-4FFD-9A3F-4C22580DD0E8}" name="Query - pwc callcenter" description="Connection to the 'pwc callcenter' query in the workbook." type="100" refreshedVersion="8" minRefreshableVersion="5">
    <extLst>
      <ext xmlns:x15="http://schemas.microsoft.com/office/spreadsheetml/2010/11/main" uri="{DE250136-89BD-433C-8126-D09CA5730AF9}">
        <x15:connection id="147da5bc-9cef-4193-8e0c-64cd6c7d7ca7">
          <x15:oledbPr connection="Provider=Microsoft.Mashup.OleDb.1;Data Source=$Workbook$;Location=&quot;pwc callcenter&quot;;Extended Properties=&quot;&quot;">
            <x15:dbTables>
              <x15:dbTable name="pwc callcenter"/>
            </x15:dbTables>
          </x15:oledbPr>
        </x15:connection>
      </ext>
    </extLst>
  </connection>
  <connection id="3" xr16:uid="{DA84DFCB-586E-4099-BA94-9333E0D4F1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<sst xmlns="http://schemas.openxmlformats.org/spreadsheetml/2006/main" count="54" uniqueCount="28">
  <si>
    <t>total calls</t>
  </si>
  <si>
    <t>nom of egent</t>
  </si>
  <si>
    <t>total duration</t>
  </si>
  <si>
    <t>Friday</t>
  </si>
  <si>
    <t>Saturday</t>
  </si>
  <si>
    <t>Sunday</t>
  </si>
  <si>
    <t>Monday</t>
  </si>
  <si>
    <t>Tuesday</t>
  </si>
  <si>
    <t>Wednesday</t>
  </si>
  <si>
    <t>Thursday</t>
  </si>
  <si>
    <t xml:space="preserve">avg handling time </t>
  </si>
  <si>
    <t xml:space="preserve">avg satisfaction rating </t>
  </si>
  <si>
    <t>Row Labels</t>
  </si>
  <si>
    <t>Becky</t>
  </si>
  <si>
    <t>Dan</t>
  </si>
  <si>
    <t>Diane</t>
  </si>
  <si>
    <t>Greg</t>
  </si>
  <si>
    <t>Jim</t>
  </si>
  <si>
    <t>Joe</t>
  </si>
  <si>
    <t>Martha</t>
  </si>
  <si>
    <t>Stewart</t>
  </si>
  <si>
    <t>N</t>
  </si>
  <si>
    <t>Y</t>
  </si>
  <si>
    <t xml:space="preserve"> </t>
  </si>
  <si>
    <t>January</t>
  </si>
  <si>
    <t>February</t>
  </si>
  <si>
    <t>March</t>
  </si>
  <si>
    <t>Admin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</si>
</sst>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 x14ac:knownFonts="1">
    <font>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2F2F2"/>
        <bgColor indexed="64"/>
      </patternFill>
    </fill>
    <fill>
      <patternFill patternType="solid">
        <fgColor rgb="FFF2AB9B"/>
        <bgColor indexed="64"/>
      </patternFill>
    </fill>
  </fills>
  <borders count="1">
    <border>
      <left/>
      <right/>
      <top/>
      <bottom/>
      <diagonal/>
    </border>
  </borders>
  <cellStyleXfs count="1">
    <xf numFmtId="0" fontId="0" fillId="0" borderId="0"/>
  </cellStyleXfs>
  <cellXfs count="11">
    <xf numFmtId="0" fontId="0" fillId="0" borderId="0" xfId="0"/>
    <xf numFmtId="1" fontId="0" fillId="0" borderId="0" xfId="0" applyNumberFormat="1"/>
    <xf numFmtId="0" fontId="0" fillId="0" borderId="0" xfId="0" pivotButton="1"/>
    <xf numFmtId="0" fontId="0" fillId="2" borderId="0" xfId="0" applyFill="1"/>
    <xf numFmtId="164" fontId="0" fillId="0" borderId="0" xfId="0" applyNumberFormat="1"/>
    <xf numFmtId="2" fontId="0" fillId="0" borderId="0" xfId="0" applyNumberFormat="1"/>
    <xf numFmtId="0" fontId="0" fillId="3" borderId="0" xfId="0" applyFill="1"/>
    <xf numFmtId="0" fontId="0" fillId="4" borderId="0" xfId="0" applyFill="1"/>
    <xf numFmtId="0" fontId="0" fillId="0" borderId="0" xfId="0" applyAlignment="1">
      <alignment horizontal="left"/>
    </xf>
    <xf numFmtId="1" fontId="0" fillId="0" borderId="0" xfId="0" pivotButton="1" applyNumberFormat="1"/>
    <xf numFmtId="1" fontId="0" fillId="0" borderId="0" xfId="0" applyNumberFormat="1" applyAlignment="1">
      <alignment horizontal="left"/>
    </xf>
  </cellXfs>
  <cellStyles count="1">
    <cellStyle name="Normal" xfId="0" builtinId="0"/>
  </cellStyles>
  <dxfs count="26">
    <dxf>
      <numFmt numFmtId="1" formatCode="0"/>
    </dxf>
    <dxf>
      <numFmt numFmtId="2" formatCode="0.00"/>
    </dxf>
    <dxf>
      <numFmt numFmtId="2" formatCode="0.00"/>
    </dxf>
    <dxf>
      <numFmt numFmtId="164" formatCode="[$-F400]h:mm:ss\ AM/PM"/>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font>
        <b val="0"/>
        <i/>
        <sz val="10"/>
      </font>
      <fill>
        <patternFill>
          <bgColor theme="0"/>
        </patternFill>
      </fill>
      <border diagonalUp="0" diagonalDown="0">
        <left/>
        <right/>
        <top/>
        <bottom/>
        <vertical/>
        <horizontal/>
      </border>
    </dxf>
  </dxfs>
  <tableStyles count="2" defaultTableStyle="TableStyleMedium2" defaultPivotStyle="PivotStyleLight16">
    <tableStyle name="Invisible" pivot="0" table="0" count="0" xr9:uid="{6D1A131D-305A-457F-AAEF-1B6565B77DB1}"/>
    <tableStyle name="Slicer Style 1" pivot="0" table="0" count="3" xr9:uid="{E6FDCA7B-BCB3-4D85-AA88-C1846D84BE66}">
      <tableStyleElement type="wholeTable" dxfId="25"/>
    </tableStyle>
  </tableStyles>
  <colors>
    <mruColors>
      <color rgb="FFF2F2F2"/>
      <color rgb="FFF2AB9B"/>
      <color rgb="FFF23005"/>
    </mruColors>
  </colors>
  <extLst>
    <ext xmlns:x14="http://schemas.microsoft.com/office/spreadsheetml/2009/9/main" uri="{46F421CA-312F-682f-3DD2-61675219B42D}">
      <x14:dxfs count="2">
        <dxf>
          <fill>
            <patternFill>
              <bgColor theme="0"/>
            </patternFill>
          </fill>
          <border diagonalUp="0" diagonalDown="0">
            <left/>
            <right/>
            <top/>
            <bottom/>
            <vertical/>
            <horizontal/>
          </border>
        </dxf>
        <dxf>
          <font>
            <b/>
            <i val="0"/>
            <sz val="11"/>
          </font>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33.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3.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openxmlformats.org/officeDocument/2006/relationships/pivotCacheDefinition" Target="pivotCache/pivotCacheDefinition15.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5.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[call_center_first_project.xlsx]pivit tables!nom of calls for each agent</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'pivit tables'!$P$17</c:f>
              <c:strCache>
                <c:ptCount val="1"/>
                <c:pt idx="0">
                  <c:v>Total</c:v>
                </c:pt>
              </c:strCache>
            </c:strRef>
          </c:tx>
          <c:spPr>
            <a:solidFill>
              <a:schemeClr val="accent1"/>
            </a:solidFill>
            <a:ln>
              <a:noFill/>
            </a:ln>
            <a:effectLst/>
          </c:spPr>
          <c:invertIfNegative val="0"/>
          <c:cat>
            <c:strRef>
              <c:f>'pivit tables'!$O$18:$O$25</c:f>
              <c:strCache>
                <c:ptCount val="8"/>
                <c:pt idx="0">
                  <c:v>Becky</c:v>
                </c:pt>
                <c:pt idx="1">
                  <c:v>Dan</c:v>
                </c:pt>
                <c:pt idx="2">
                  <c:v>Diane</c:v>
                </c:pt>
                <c:pt idx="3">
                  <c:v>Greg</c:v>
                </c:pt>
                <c:pt idx="4">
                  <c:v>Jim</c:v>
                </c:pt>
                <c:pt idx="5">
                  <c:v>Joe</c:v>
                </c:pt>
                <c:pt idx="6">
                  <c:v>Martha</c:v>
                </c:pt>
                <c:pt idx="7">
                  <c:v>Stewart</c:v>
                </c:pt>
              </c:strCache>
            </c:strRef>
          </c:cat>
          <c:val>
            <c:numRef>
              <c:f>'pivit tables'!$P$18:$P$25</c:f>
              <c:numCache>
                <c:formatCode>0</c:formatCode>
                <c:ptCount val="8"/>
                <c:pt idx="0">
                  <c:v>121</c:v>
                </c:pt>
                <c:pt idx="1">
                  <c:v>108</c:v>
                </c:pt>
                <c:pt idx="2">
                  <c:v>134</c:v>
                </c:pt>
                <c:pt idx="3">
                  <c:v>130</c:v>
                </c:pt>
                <c:pt idx="4">
                  <c:v>142</c:v>
                </c:pt>
                <c:pt idx="5">
                  <c:v>120</c:v>
                </c:pt>
                <c:pt idx="6">
                  <c:v>114</c:v>
                </c:pt>
                <c:pt idx="7">
                  <c:v>107</c:v>
                </c:pt>
              </c:numCache>
            </c:numRef>
          </c:val>
          <c:extLst>
            <c:ext xmlns:c16="http://schemas.microsoft.com/office/drawing/2014/chart" uri="{C3380CC4-5D6E-409C-BE32-E72D297353CC}">
              <c16:uniqueId val="{00000000-87D8-4D96-8315-8DE439D6F298}"/>
            </c:ext>
          </c:extLst>
        </c:ser>
        <c:dLbls>
          <c:showLegendKey val="0"/>
          <c:showVal val="0"/>
          <c:showCatName val="0"/>
          <c:showSerName val="0"/>
          <c:showPercent val="0"/>
          <c:showBubbleSize val="0"/>
        </c:dLbls>
        <c:gapWidth val="219"/>
        <c:overlap val="-27"/>
        <c:axId val="1424909935"/>
        <c:axId val="1424910415"/>
      </c:barChart>
      <c:catAx>
        <c:axId val="142490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10415"/>
        <c:crosses val="autoZero"/>
        <c:auto val="1"/>
        <c:lblAlgn val="ctr"/>
        <c:lblOffset val="100"/>
        <c:noMultiLvlLbl val="0"/>
      </c:catAx>
      <c:valAx>
        <c:axId val="14249104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0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[call_center_first_project.xlsx]pivit tables!aht of each agent</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'pivit tables'!$I$30</c:f>
              <c:strCache>
                <c:ptCount val="1"/>
                <c:pt idx="0">
                  <c:v>Total</c:v>
                </c:pt>
              </c:strCache>
            </c:strRef>
          </c:tx>
          <c:spPr>
            <a:solidFill>
              <a:schemeClr val="accent1"/>
            </a:solidFill>
            <a:ln>
              <a:noFill/>
            </a:ln>
            <a:effectLst/>
          </c:spPr>
          <c:invertIfNegative val="0"/>
          <c:cat>
            <c:strRef>
              <c:f>'pivit tables'!$H$31:$H$38</c:f>
              <c:strCache>
                <c:ptCount val="8"/>
                <c:pt idx="0">
                  <c:v>Becky</c:v>
                </c:pt>
                <c:pt idx="1">
                  <c:v>Dan</c:v>
                </c:pt>
                <c:pt idx="2">
                  <c:v>Diane</c:v>
                </c:pt>
                <c:pt idx="3">
                  <c:v>Greg</c:v>
                </c:pt>
                <c:pt idx="4">
                  <c:v>Jim</c:v>
                </c:pt>
                <c:pt idx="5">
                  <c:v>Joe</c:v>
                </c:pt>
                <c:pt idx="6">
                  <c:v>Martha</c:v>
                </c:pt>
                <c:pt idx="7">
                  <c:v>Stewart</c:v>
                </c:pt>
              </c:strCache>
            </c:strRef>
          </c:cat>
          <c:val>
            <c:numRef>
              <c:f>'pivit tables'!$I$31:$I$38</c:f>
              <c:numCache>
                <c:formatCode>0.00</c:formatCode>
                <c:ptCount val="8"/>
                <c:pt idx="0">
                  <c:v>7.7678213187107126</c:v>
                </c:pt>
                <c:pt idx="1">
                  <c:v>7.7542879936178695</c:v>
                </c:pt>
                <c:pt idx="2">
                  <c:v>8.0136218281490077</c:v>
                </c:pt>
                <c:pt idx="3">
                  <c:v>8.1611300026157494</c:v>
                </c:pt>
                <c:pt idx="4">
                  <c:v>7.6309896999552151</c:v>
                </c:pt>
                <c:pt idx="5">
                  <c:v>8.011869436201783</c:v>
                </c:pt>
                <c:pt idx="6">
                  <c:v>7.8888942284588417</c:v>
                </c:pt>
                <c:pt idx="7">
                  <c:v>6.8113699659608349</c:v>
                </c:pt>
              </c:numCache>
            </c:numRef>
          </c:val>
          <c:extLst>
            <c:ext xmlns:c16="http://schemas.microsoft.com/office/drawing/2014/chart" uri="{C3380CC4-5D6E-409C-BE32-E72D297353CC}">
              <c16:uniqueId val="{00000000-378D-4BB6-8263-B7BBFF022517}"/>
            </c:ext>
          </c:extLst>
        </c:ser>
        <c:dLbls>
          <c:showLegendKey val="0"/>
          <c:showVal val="0"/>
          <c:showCatName val="0"/>
          <c:showSerName val="0"/>
          <c:showPercent val="0"/>
          <c:showBubbleSize val="0"/>
        </c:dLbls>
        <c:gapWidth val="150"/>
        <c:overlap val="100"/>
        <c:axId val="268954384"/>
        <c:axId val="268954864"/>
      </c:barChart>
      <c:catAx>
        <c:axId val="268954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954864"/>
        <c:crosses val="autoZero"/>
        <c:auto val="1"/>
        <c:lblAlgn val="ctr"/>
        <c:lblOffset val="100"/>
        <c:noMultiLvlLbl val="0"/>
      </c:catAx>
      <c:valAx>
        <c:axId val="2689548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95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[call_center_first_project.xlsx]pivit tables!answred or not</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'pivit tables'!$C$28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B6-42F0-823F-998C881640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B6-42F0-823F-998C88164020}"/>
              </c:ext>
            </c:extLst>
          </c:dPt>
          <c:cat>
            <c:strRef>
              <c:f>'pivit tables'!$B$29:$B$30</c:f>
              <c:strCache>
                <c:ptCount val="2"/>
                <c:pt idx="0">
                  <c:v>N</c:v>
                </c:pt>
                <c:pt idx="1">
                  <c:v>Y</c:v>
                </c:pt>
              </c:strCache>
            </c:strRef>
          </c:cat>
          <c:val>
            <c:numRef>
              <c:f>'pivit tables'!$C$29:$C$30</c:f>
              <c:numCache>
                <c:formatCode>0</c:formatCode>
                <c:ptCount val="2"/>
                <c:pt idx="0">
                  <c:v>181</c:v>
                </c:pt>
                <c:pt idx="1">
                  <c:v>795</c:v>
                </c:pt>
              </c:numCache>
            </c:numRef>
          </c:val>
          <c:extLst>
            <c:ext xmlns:c16="http://schemas.microsoft.com/office/drawing/2014/chart" uri="{C3380CC4-5D6E-409C-BE32-E72D297353CC}">
              <c16:uniqueId val="{00000000-DABF-4AB3-8C82-FADB0626E2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[call_center_first_project.xlsx]pivit tables!PivotTable15</c:name>
    <c:fmtId val="2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'pivit tables'!$T$2</c:f>
              <c:strCache>
                <c:ptCount val="1"/>
                <c:pt idx="0">
                  <c:v>Total</c:v>
                </c:pt>
              </c:strCache>
            </c:strRef>
          </c:tx>
          <c:spPr>
            <a:ln w="28575" cap="rnd">
              <a:solidFill>
                <a:schemeClr val="accent1"/>
              </a:solidFill>
              <a:round/>
            </a:ln>
            <a:effectLst/>
          </c:spPr>
          <c:marker>
            <c:symbol val="none"/>
          </c:marker>
          <c:cat>
            <c:strRef>
              <c:f>'pivit tables'!$S$3</c:f>
              <c:strCache>
                <c:ptCount val="1"/>
                <c:pt idx="0">
                  <c:v>Admin Support</c:v>
                </c:pt>
              </c:strCache>
            </c:strRef>
          </c:cat>
          <c:val>
            <c:numRef>
              <c:f>'pivit tables'!$T$3</c:f>
              <c:numCache>
                <c:formatCode>0</c:formatCode>
                <c:ptCount val="1"/>
                <c:pt idx="0">
                  <c:v>976</c:v>
                </c:pt>
              </c:numCache>
            </c:numRef>
          </c:val>
          <c:extLst>
            <c:ext xmlns:c16="http://schemas.microsoft.com/office/drawing/2014/chart" uri="{C3380CC4-5D6E-409C-BE32-E72D297353CC}">
              <c16:uniqueId val="{00000000-B0A8-4714-B5D7-6EA6B00F0C35}"/>
            </c:ext>
          </c:extLst>
        </c:ser>
        <c:dLbls>
          <c:showLegendKey val="0"/>
          <c:showVal val="0"/>
          <c:showCatName val="0"/>
          <c:showSerName val="0"/>
          <c:showPercent val="0"/>
          <c:showBubbleSize val="0"/>
        </c:dLbls>
        <c:axId val="922189295"/>
        <c:axId val="922189775"/>
      </c:radarChart>
      <c:catAx>
        <c:axId val="92218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189775"/>
        <c:crosses val="autoZero"/>
        <c:auto val="1"/>
        <c:lblAlgn val="ctr"/>
        <c:lblOffset val="100"/>
        <c:noMultiLvlLbl val="0"/>
      </c:catAx>
      <c:valAx>
        <c:axId val="9221897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18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[call_center_first_project.xlsx]pivit tables!calls per month</c:name>
    <c:fmtId val="4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dLbl>
          <c:idx val="0"/>
          <c:layout>
            <c:manualLayout>
              <c:x val="8.055555555555545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dLbl>
          <c:idx val="0"/>
          <c:layout>
            <c:manualLayout>
              <c:x val="-9.166666666666666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dLbl>
          <c:idx val="0"/>
          <c:layout>
            <c:manualLayout>
              <c:x val="-0.1416666666666666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rgbClr val="F23005"/>
          </a:solidFill>
          <a:ln w="19050">
            <a:solidFill>
              <a:schemeClr val="lt1"/>
            </a:solidFill>
          </a:ln>
          <a:effectLst/>
        </c:spPr>
        <c:dLbl>
          <c:idx val="0"/>
          <c:layout>
            <c:manualLayout>
              <c:x val="0.11353915284817311"/>
              <c:y val="-1.3593088574491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F2AB9B"/>
          </a:solidFill>
          <a:ln w="19050">
            <a:solidFill>
              <a:schemeClr val="lt1"/>
            </a:solidFill>
          </a:ln>
          <a:effectLst/>
        </c:spPr>
        <c:dLbl>
          <c:idx val="0"/>
          <c:layout>
            <c:manualLayout>
              <c:x val="-8.5154364636129909E-2"/>
              <c:y val="-5.43723542979669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8095302485177611"/>
              <c:y val="2.7186177148983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3678764617494213"/>
          <c:y val="9.2387580303985306E-2"/>
          <c:w val="0.69780225264194262"/>
          <c:h val="0.85009399768035754"/>
        </c:manualLayout>
      </c:layout>
      <c:doughnutChart>
        <c:varyColors val="1"/>
        <c:ser>
          <c:idx val="0"/>
          <c:order val="0"/>
          <c:tx>
            <c:strRef>
              <c:f>'pivit tables'!$AI$9</c:f>
              <c:strCache>
                <c:ptCount val="1"/>
                <c:pt idx="0">
                  <c:v>Total</c:v>
                </c:pt>
              </c:strCache>
            </c:strRef>
          </c:tx>
          <c:dPt>
            <c:idx val="0"/>
            <c:bubble3D val="0"/>
            <c:spPr>
              <a:solidFill>
                <a:srgbClr val="F23005"/>
              </a:solidFill>
              <a:ln w="19050">
                <a:solidFill>
                  <a:schemeClr val="lt1"/>
                </a:solidFill>
              </a:ln>
              <a:effectLst/>
            </c:spPr>
            <c:extLst>
              <c:ext xmlns:c16="http://schemas.microsoft.com/office/drawing/2014/chart" uri="{C3380CC4-5D6E-409C-BE32-E72D297353CC}">
                <c16:uniqueId val="{00000002-2A61-4DC3-85D8-BB20C2FE7F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A61-4DC3-85D8-BB20C2FE7F74}"/>
              </c:ext>
            </c:extLst>
          </c:dPt>
          <c:dPt>
            <c:idx val="2"/>
            <c:bubble3D val="0"/>
            <c:spPr>
              <a:solidFill>
                <a:srgbClr val="F2AB9B"/>
              </a:solidFill>
              <a:ln w="19050">
                <a:solidFill>
                  <a:schemeClr val="lt1"/>
                </a:solidFill>
              </a:ln>
              <a:effectLst/>
            </c:spPr>
            <c:extLst>
              <c:ext xmlns:c16="http://schemas.microsoft.com/office/drawing/2014/chart" uri="{C3380CC4-5D6E-409C-BE32-E72D297353CC}">
                <c16:uniqueId val="{00000003-2A61-4DC3-85D8-BB20C2FE7F74}"/>
              </c:ext>
            </c:extLst>
          </c:dPt>
          <c:dLbls>
            <c:dLbl>
              <c:idx val="0"/>
              <c:layout>
                <c:manualLayout>
                  <c:x val="0.11353915284817311"/>
                  <c:y val="-1.3593088574491732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2A61-4DC3-85D8-BB20C2FE7F74}"/>
                </c:ext>
              </c:extLst>
            </c:dLbl>
            <c:dLbl>
              <c:idx val="1"/>
              <c:layout>
                <c:manualLayout>
                  <c:x val="-0.18095302485177611"/>
                  <c:y val="2.718617714898329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2A61-4DC3-85D8-BB20C2FE7F74}"/>
                </c:ext>
              </c:extLst>
            </c:dLbl>
            <c:dLbl>
              <c:idx val="2"/>
              <c:layout>
                <c:manualLayout>
                  <c:x val="-8.5154364636129909E-2"/>
                  <c:y val="-5.437235429796692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2A61-4DC3-85D8-BB20C2FE7F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'pivit tables'!$AH$10:$AH$12</c:f>
              <c:strCache>
                <c:ptCount val="3"/>
                <c:pt idx="0">
                  <c:v>February</c:v>
                </c:pt>
                <c:pt idx="1">
                  <c:v>January</c:v>
                </c:pt>
                <c:pt idx="2">
                  <c:v>March</c:v>
                </c:pt>
              </c:strCache>
            </c:strRef>
          </c:cat>
          <c:val>
            <c:numRef>
              <c:f>'pivit tables'!$AI$10:$AI$12</c:f>
              <c:numCache>
                <c:formatCode>0</c:formatCode>
                <c:ptCount val="3"/>
                <c:pt idx="0">
                  <c:v>336</c:v>
                </c:pt>
                <c:pt idx="1">
                  <c:v>325</c:v>
                </c:pt>
                <c:pt idx="2">
                  <c:v>315</c:v>
                </c:pt>
              </c:numCache>
            </c:numRef>
          </c:val>
          <c:extLst>
            <c:ext xmlns:c16="http://schemas.microsoft.com/office/drawing/2014/chart" uri="{C3380CC4-5D6E-409C-BE32-E72D297353CC}">
              <c16:uniqueId val="{00000000-2A61-4DC3-85D8-BB20C2FE7F74}"/>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[call_center_first_project.xlsx]pivit tables!nom of calls for each agent</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2AB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321723912907227E-2"/>
          <c:y val="4.6926678160882911E-2"/>
          <c:w val="0.9211509794065923"/>
          <c:h val="0.86541117271583656"/>
        </c:manualLayout>
      </c:layout>
      <c:barChart>
        <c:barDir val="col"/>
        <c:grouping val="clustered"/>
        <c:varyColors val="0"/>
        <c:ser>
          <c:idx val="0"/>
          <c:order val="0"/>
          <c:tx>
            <c:strRef>
              <c:f>'pivit tables'!$P$17</c:f>
              <c:strCache>
                <c:ptCount val="1"/>
                <c:pt idx="0">
                  <c:v>Total</c:v>
                </c:pt>
              </c:strCache>
            </c:strRef>
          </c:tx>
          <c:spPr>
            <a:solidFill>
              <a:srgbClr val="F2AB9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'pivit tables'!$O$18:$O$25</c:f>
              <c:strCache>
                <c:ptCount val="8"/>
                <c:pt idx="0">
                  <c:v>Becky</c:v>
                </c:pt>
                <c:pt idx="1">
                  <c:v>Dan</c:v>
                </c:pt>
                <c:pt idx="2">
                  <c:v>Diane</c:v>
                </c:pt>
                <c:pt idx="3">
                  <c:v>Greg</c:v>
                </c:pt>
                <c:pt idx="4">
                  <c:v>Jim</c:v>
                </c:pt>
                <c:pt idx="5">
                  <c:v>Joe</c:v>
                </c:pt>
                <c:pt idx="6">
                  <c:v>Martha</c:v>
                </c:pt>
                <c:pt idx="7">
                  <c:v>Stewart</c:v>
                </c:pt>
              </c:strCache>
            </c:strRef>
          </c:cat>
          <c:val>
            <c:numRef>
              <c:f>'pivit tables'!$P$18:$P$25</c:f>
              <c:numCache>
                <c:formatCode>0</c:formatCode>
                <c:ptCount val="8"/>
                <c:pt idx="0">
                  <c:v>121</c:v>
                </c:pt>
                <c:pt idx="1">
                  <c:v>108</c:v>
                </c:pt>
                <c:pt idx="2">
                  <c:v>134</c:v>
                </c:pt>
                <c:pt idx="3">
                  <c:v>130</c:v>
                </c:pt>
                <c:pt idx="4">
                  <c:v>142</c:v>
                </c:pt>
                <c:pt idx="5">
                  <c:v>120</c:v>
                </c:pt>
                <c:pt idx="6">
                  <c:v>114</c:v>
                </c:pt>
                <c:pt idx="7">
                  <c:v>107</c:v>
                </c:pt>
              </c:numCache>
            </c:numRef>
          </c:val>
          <c:extLst>
            <c:ext xmlns:c16="http://schemas.microsoft.com/office/drawing/2014/chart" uri="{C3380CC4-5D6E-409C-BE32-E72D297353CC}">
              <c16:uniqueId val="{00000000-163B-4870-8FC1-8F4FA00502CF}"/>
            </c:ext>
          </c:extLst>
        </c:ser>
        <c:dLbls>
          <c:dLblPos val="outEnd"/>
          <c:showLegendKey val="0"/>
          <c:showVal val="1"/>
          <c:showCatName val="0"/>
          <c:showSerName val="0"/>
          <c:showPercent val="0"/>
          <c:showBubbleSize val="0"/>
        </c:dLbls>
        <c:gapWidth val="219"/>
        <c:overlap val="-27"/>
        <c:axId val="1424909935"/>
        <c:axId val="1424910415"/>
      </c:barChart>
      <c:catAx>
        <c:axId val="1424909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10415"/>
        <c:crosses val="autoZero"/>
        <c:auto val="1"/>
        <c:lblAlgn val="ctr"/>
        <c:lblOffset val="100"/>
        <c:noMultiLvlLbl val="0"/>
      </c:catAx>
      <c:valAx>
        <c:axId val="142491041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09935"/>
        <c:crosses val="autoZero"/>
        <c:crossBetween val="between"/>
      </c:valAx>
      <c:spPr>
        <a:solidFill>
          <a:srgbClr val="F2F2F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[call_center_first_project.xlsx]pivit tables!aht of each agent</c:name>
    <c:fmtId val="1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2AB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'pivit tables'!$I$30</c:f>
              <c:strCache>
                <c:ptCount val="1"/>
                <c:pt idx="0">
                  <c:v>Total</c:v>
                </c:pt>
              </c:strCache>
            </c:strRef>
          </c:tx>
          <c:spPr>
            <a:solidFill>
              <a:srgbClr val="F2AB9B"/>
            </a:solidFill>
            <a:ln>
              <a:noFill/>
            </a:ln>
            <a:effectLst/>
          </c:spPr>
          <c:invertIfNegative val="0"/>
          <c:cat>
            <c:strRef>
              <c:f>'pivit tables'!$H$31:$H$38</c:f>
              <c:strCache>
                <c:ptCount val="8"/>
                <c:pt idx="0">
                  <c:v>Becky</c:v>
                </c:pt>
                <c:pt idx="1">
                  <c:v>Dan</c:v>
                </c:pt>
                <c:pt idx="2">
                  <c:v>Diane</c:v>
                </c:pt>
                <c:pt idx="3">
                  <c:v>Greg</c:v>
                </c:pt>
                <c:pt idx="4">
                  <c:v>Jim</c:v>
                </c:pt>
                <c:pt idx="5">
                  <c:v>Joe</c:v>
                </c:pt>
                <c:pt idx="6">
                  <c:v>Martha</c:v>
                </c:pt>
                <c:pt idx="7">
                  <c:v>Stewart</c:v>
                </c:pt>
              </c:strCache>
            </c:strRef>
          </c:cat>
          <c:val>
            <c:numRef>
              <c:f>'pivit tables'!$I$31:$I$38</c:f>
              <c:numCache>
                <c:formatCode>0.00</c:formatCode>
                <c:ptCount val="8"/>
                <c:pt idx="0">
                  <c:v>7.7678213187107126</c:v>
                </c:pt>
                <c:pt idx="1">
                  <c:v>7.7542879936178695</c:v>
                </c:pt>
                <c:pt idx="2">
                  <c:v>8.0136218281490077</c:v>
                </c:pt>
                <c:pt idx="3">
                  <c:v>8.1611300026157494</c:v>
                </c:pt>
                <c:pt idx="4">
                  <c:v>7.6309896999552151</c:v>
                </c:pt>
                <c:pt idx="5">
                  <c:v>8.011869436201783</c:v>
                </c:pt>
                <c:pt idx="6">
                  <c:v>7.8888942284588417</c:v>
                </c:pt>
                <c:pt idx="7">
                  <c:v>6.8113699659608349</c:v>
                </c:pt>
              </c:numCache>
            </c:numRef>
          </c:val>
          <c:extLst>
            <c:ext xmlns:c16="http://schemas.microsoft.com/office/drawing/2014/chart" uri="{C3380CC4-5D6E-409C-BE32-E72D297353CC}">
              <c16:uniqueId val="{00000000-95E5-4596-A1BA-ABF6EB800994}"/>
            </c:ext>
          </c:extLst>
        </c:ser>
        <c:dLbls>
          <c:showLegendKey val="0"/>
          <c:showVal val="0"/>
          <c:showCatName val="0"/>
          <c:showSerName val="0"/>
          <c:showPercent val="0"/>
          <c:showBubbleSize val="0"/>
        </c:dLbls>
        <c:gapWidth val="150"/>
        <c:overlap val="100"/>
        <c:axId val="268954384"/>
        <c:axId val="268954864"/>
      </c:barChart>
      <c:catAx>
        <c:axId val="268954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68954864"/>
        <c:crosses val="autoZero"/>
        <c:auto val="1"/>
        <c:lblAlgn val="ctr"/>
        <c:lblOffset val="100"/>
        <c:noMultiLvlLbl val="0"/>
      </c:catAx>
      <c:valAx>
        <c:axId val="26895486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6895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[call_center_first_project.xlsx]pivit tables!answred or not</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2AB9B"/>
          </a:solidFill>
          <a:ln w="19050">
            <a:noFill/>
          </a:ln>
          <a:effectLst/>
        </c:spPr>
      </c:pivotFmt>
      <c:pivotFmt>
        <c:idx val="12"/>
        <c:spPr>
          <a:solidFill>
            <a:srgbClr val="F23005"/>
          </a:solidFill>
          <a:ln w="19050">
            <a:noFill/>
          </a:ln>
          <a:effectLst/>
        </c:spPr>
      </c:pivotFmt>
    </c:pivotFmts>
    <c:plotArea>
      <c:layout>
        <c:manualLayout>
          <c:layoutTarget val="inner"/>
          <c:xMode val="edge"/>
          <c:yMode val="edge"/>
          <c:x val="6.4297112860892389E-2"/>
          <c:y val="0"/>
          <c:w val="0.79788327043903529"/>
          <c:h val="1"/>
        </c:manualLayout>
      </c:layout>
      <c:pieChart>
        <c:varyColors val="1"/>
        <c:ser>
          <c:idx val="0"/>
          <c:order val="0"/>
          <c:tx>
            <c:strRef>
              <c:f>'pivit tables'!$C$28</c:f>
              <c:strCache>
                <c:ptCount val="1"/>
                <c:pt idx="0">
                  <c:v>Total</c:v>
                </c:pt>
              </c:strCache>
            </c:strRef>
          </c:tx>
          <c:spPr>
            <a:ln>
              <a:noFill/>
            </a:ln>
          </c:spPr>
          <c:dPt>
            <c:idx val="0"/>
            <c:bubble3D val="0"/>
            <c:spPr>
              <a:solidFill>
                <a:srgbClr val="F2AB9B"/>
              </a:solidFill>
              <a:ln w="19050">
                <a:noFill/>
              </a:ln>
              <a:effectLst/>
            </c:spPr>
            <c:extLst>
              <c:ext xmlns:c16="http://schemas.microsoft.com/office/drawing/2014/chart" uri="{C3380CC4-5D6E-409C-BE32-E72D297353CC}">
                <c16:uniqueId val="{00000001-69FE-42E5-B609-E10693C54732}"/>
              </c:ext>
            </c:extLst>
          </c:dPt>
          <c:dPt>
            <c:idx val="1"/>
            <c:bubble3D val="0"/>
            <c:spPr>
              <a:solidFill>
                <a:srgbClr val="F23005"/>
              </a:solidFill>
              <a:ln w="19050">
                <a:noFill/>
              </a:ln>
              <a:effectLst/>
            </c:spPr>
            <c:extLst>
              <c:ext xmlns:c16="http://schemas.microsoft.com/office/drawing/2014/chart" uri="{C3380CC4-5D6E-409C-BE32-E72D297353CC}">
                <c16:uniqueId val="{00000003-69FE-42E5-B609-E10693C547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'pivit tables'!$B$29:$B$30</c:f>
              <c:strCache>
                <c:ptCount val="2"/>
                <c:pt idx="0">
                  <c:v>N</c:v>
                </c:pt>
                <c:pt idx="1">
                  <c:v>Y</c:v>
                </c:pt>
              </c:strCache>
            </c:strRef>
          </c:cat>
          <c:val>
            <c:numRef>
              <c:f>'pivit tables'!$C$29:$C$30</c:f>
              <c:numCache>
                <c:formatCode>0</c:formatCode>
                <c:ptCount val="2"/>
                <c:pt idx="0">
                  <c:v>181</c:v>
                </c:pt>
                <c:pt idx="1">
                  <c:v>795</c:v>
                </c:pt>
              </c:numCache>
            </c:numRef>
          </c:val>
          <c:extLst>
            <c:ext xmlns:c16="http://schemas.microsoft.com/office/drawing/2014/chart" uri="{C3380CC4-5D6E-409C-BE32-E72D297353CC}">
              <c16:uniqueId val="{00000004-69FE-42E5-B609-E10693C5473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86000" sy="86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[call_center_first_project.xlsx]pivit tables!PivotTable15</c:name>
    <c:fmtId val="3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2AB9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4563810457485579"/>
          <c:y val="0.13146972019175773"/>
          <c:w val="0.73493321207956841"/>
          <c:h val="0.73962208686186814"/>
        </c:manualLayout>
      </c:layout>
      <c:radarChart>
        <c:radarStyle val="marker"/>
        <c:varyColors val="0"/>
        <c:ser>
          <c:idx val="0"/>
          <c:order val="0"/>
          <c:tx>
            <c:strRef>
              <c:f>'pivit tables'!$T$2</c:f>
              <c:strCache>
                <c:ptCount val="1"/>
                <c:pt idx="0">
                  <c:v>Total</c:v>
                </c:pt>
              </c:strCache>
            </c:strRef>
          </c:tx>
          <c:spPr>
            <a:ln w="28575" cap="rnd">
              <a:solidFill>
                <a:srgbClr val="F2AB9B"/>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'pivit tables'!$S$3</c:f>
              <c:strCache>
                <c:ptCount val="1"/>
                <c:pt idx="0">
                  <c:v>Admin Support</c:v>
                </c:pt>
              </c:strCache>
            </c:strRef>
          </c:cat>
          <c:val>
            <c:numRef>
              <c:f>'pivit tables'!$T$3</c:f>
              <c:numCache>
                <c:formatCode>0</c:formatCode>
                <c:ptCount val="1"/>
                <c:pt idx="0">
                  <c:v>976</c:v>
                </c:pt>
              </c:numCache>
            </c:numRef>
          </c:val>
          <c:extLst>
            <c:ext xmlns:c16="http://schemas.microsoft.com/office/drawing/2014/chart" uri="{C3380CC4-5D6E-409C-BE32-E72D297353CC}">
              <c16:uniqueId val="{00000000-C6F1-4E59-B348-043F94D54EF1}"/>
            </c:ext>
          </c:extLst>
        </c:ser>
        <c:dLbls>
          <c:showLegendKey val="0"/>
          <c:showVal val="1"/>
          <c:showCatName val="0"/>
          <c:showSerName val="0"/>
          <c:showPercent val="0"/>
          <c:showBubbleSize val="0"/>
        </c:dLbls>
        <c:axId val="922189295"/>
        <c:axId val="922189775"/>
      </c:radarChart>
      <c:catAx>
        <c:axId val="92218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189775"/>
        <c:crosses val="autoZero"/>
        <c:auto val="1"/>
        <c:lblAlgn val="ctr"/>
        <c:lblOffset val="100"/>
        <c:noMultiLvlLbl val="0"/>
      </c:catAx>
      <c:valAx>
        <c:axId val="92218977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92218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[call_center_first_project.xlsx]pivit tables!calls per day</c:name>
    <c:fmtId val="3"/>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31750" cap="flat" cmpd="sng">
            <a:solidFill>
              <a:srgbClr val="F2300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'pivit tables'!$AA$8</c:f>
              <c:strCache>
                <c:ptCount val="1"/>
                <c:pt idx="0">
                  <c:v>Total</c:v>
                </c:pt>
              </c:strCache>
            </c:strRef>
          </c:tx>
          <c:spPr>
            <a:ln w="31750" cap="flat" cmpd="sng">
              <a:solidFill>
                <a:srgbClr val="F2300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'pivit tables'!$Z$9:$Z$39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'pivit tables'!$AA$9:$AA$39</c:f>
              <c:numCache>
                <c:formatCode>0.00</c:formatCode>
                <c:ptCount val="31"/>
                <c:pt idx="0">
                  <c:v>36</c:v>
                </c:pt>
                <c:pt idx="1">
                  <c:v>25</c:v>
                </c:pt>
                <c:pt idx="2">
                  <c:v>36</c:v>
                </c:pt>
                <c:pt idx="3">
                  <c:v>42</c:v>
                </c:pt>
                <c:pt idx="4">
                  <c:v>36</c:v>
                </c:pt>
                <c:pt idx="5">
                  <c:v>36</c:v>
                </c:pt>
                <c:pt idx="6">
                  <c:v>41</c:v>
                </c:pt>
                <c:pt idx="7">
                  <c:v>32</c:v>
                </c:pt>
                <c:pt idx="8">
                  <c:v>38</c:v>
                </c:pt>
                <c:pt idx="9">
                  <c:v>30</c:v>
                </c:pt>
                <c:pt idx="10">
                  <c:v>46</c:v>
                </c:pt>
                <c:pt idx="11">
                  <c:v>28</c:v>
                </c:pt>
                <c:pt idx="12">
                  <c:v>31</c:v>
                </c:pt>
                <c:pt idx="13">
                  <c:v>26</c:v>
                </c:pt>
                <c:pt idx="14">
                  <c:v>39</c:v>
                </c:pt>
                <c:pt idx="15">
                  <c:v>25</c:v>
                </c:pt>
                <c:pt idx="16">
                  <c:v>31</c:v>
                </c:pt>
                <c:pt idx="17">
                  <c:v>35</c:v>
                </c:pt>
                <c:pt idx="18">
                  <c:v>29</c:v>
                </c:pt>
                <c:pt idx="19">
                  <c:v>29</c:v>
                </c:pt>
                <c:pt idx="20">
                  <c:v>27</c:v>
                </c:pt>
                <c:pt idx="21">
                  <c:v>37</c:v>
                </c:pt>
                <c:pt idx="22">
                  <c:v>34</c:v>
                </c:pt>
                <c:pt idx="23">
                  <c:v>25</c:v>
                </c:pt>
                <c:pt idx="24">
                  <c:v>40</c:v>
                </c:pt>
                <c:pt idx="25">
                  <c:v>25</c:v>
                </c:pt>
                <c:pt idx="26">
                  <c:v>34</c:v>
                </c:pt>
                <c:pt idx="27">
                  <c:v>31</c:v>
                </c:pt>
                <c:pt idx="28">
                  <c:v>24</c:v>
                </c:pt>
                <c:pt idx="29">
                  <c:v>19</c:v>
                </c:pt>
                <c:pt idx="30">
                  <c:v>9</c:v>
                </c:pt>
              </c:numCache>
            </c:numRef>
          </c:val>
          <c:smooth val="1"/>
          <c:extLst>
            <c:ext xmlns:c16="http://schemas.microsoft.com/office/drawing/2014/chart" uri="{C3380CC4-5D6E-409C-BE32-E72D297353CC}">
              <c16:uniqueId val="{00000000-6053-4763-9A74-9C4A1B6F7BA3}"/>
            </c:ext>
          </c:extLst>
        </c:ser>
        <c:dLbls>
          <c:dLblPos val="t"/>
          <c:showLegendKey val="0"/>
          <c:showVal val="1"/>
          <c:showCatName val="0"/>
          <c:showSerName val="0"/>
          <c:showPercent val="0"/>
          <c:showBubbleSize val="0"/>
        </c:dLbls>
        <c:smooth val="0"/>
        <c:axId val="260939840"/>
        <c:axId val="260940320"/>
      </c:lineChart>
      <c:catAx>
        <c:axId val="26093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940320"/>
        <c:crosses val="autoZero"/>
        <c:auto val="1"/>
        <c:lblAlgn val="ctr"/>
        <c:lblOffset val="100"/>
        <c:noMultiLvlLbl val="0"/>
      </c:catAx>
      <c:valAx>
        <c:axId val="2609403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93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[call_center_first_project.xlsx]pivit tables!calls per name pf day</c:name>
    <c:fmtId val="42"/>
  </c:pivotSource>
  <c:chart>
    <c:autoTitleDeleted val="1"/>
    <c:pivotFmts>
      <c:pivotFmt>
        <c:idx val="0"/>
        <c:spPr>
          <a:solidFill>
            <a:schemeClr val="accent1"/>
          </a:solidFill>
          <a:ln w="28575" cap="rnd">
            <a:solidFill>
              <a:srgbClr val="F2AB9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2AB9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2AB9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030603493468419E-2"/>
          <c:y val="0.13255669375424434"/>
          <c:w val="0.94996939650653156"/>
          <c:h val="0.71733720217961827"/>
        </c:manualLayout>
      </c:layout>
      <c:lineChart>
        <c:grouping val="stacked"/>
        <c:varyColors val="0"/>
        <c:ser>
          <c:idx val="0"/>
          <c:order val="0"/>
          <c:tx>
            <c:strRef>
              <c:f>'pivit tables'!$AE$8</c:f>
              <c:strCache>
                <c:ptCount val="1"/>
                <c:pt idx="0">
                  <c:v>Total</c:v>
                </c:pt>
              </c:strCache>
            </c:strRef>
          </c:tx>
          <c:spPr>
            <a:ln w="28575" cap="rnd">
              <a:solidFill>
                <a:srgbClr val="F2AB9B"/>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'pivit tables'!$AD$9:$AD$15</c:f>
              <c:strCache>
                <c:ptCount val="7"/>
                <c:pt idx="0">
                  <c:v>Friday</c:v>
                </c:pt>
                <c:pt idx="1">
                  <c:v>Monday</c:v>
                </c:pt>
                <c:pt idx="2">
                  <c:v>Saturday</c:v>
                </c:pt>
                <c:pt idx="3">
                  <c:v>Sunday</c:v>
                </c:pt>
                <c:pt idx="4">
                  <c:v>Thursday</c:v>
                </c:pt>
                <c:pt idx="5">
                  <c:v>Tuesday</c:v>
                </c:pt>
                <c:pt idx="6">
                  <c:v>Wednesday</c:v>
                </c:pt>
              </c:strCache>
            </c:strRef>
          </c:cat>
          <c:val>
            <c:numRef>
              <c:f>'pivit tables'!$AE$9:$AE$15</c:f>
              <c:numCache>
                <c:formatCode>0.00</c:formatCode>
                <c:ptCount val="7"/>
                <c:pt idx="0">
                  <c:v>141</c:v>
                </c:pt>
                <c:pt idx="1">
                  <c:v>169</c:v>
                </c:pt>
                <c:pt idx="2">
                  <c:v>142</c:v>
                </c:pt>
                <c:pt idx="3">
                  <c:v>133</c:v>
                </c:pt>
                <c:pt idx="4">
                  <c:v>137</c:v>
                </c:pt>
                <c:pt idx="5">
                  <c:v>124</c:v>
                </c:pt>
                <c:pt idx="6">
                  <c:v>130</c:v>
                </c:pt>
              </c:numCache>
            </c:numRef>
          </c:val>
          <c:smooth val="0"/>
          <c:extLst>
            <c:ext xmlns:c16="http://schemas.microsoft.com/office/drawing/2014/chart" uri="{C3380CC4-5D6E-409C-BE32-E72D297353CC}">
              <c16:uniqueId val="{00000000-130C-421F-979C-9E57EA02E433}"/>
            </c:ext>
          </c:extLst>
        </c:ser>
        <c:dLbls>
          <c:dLblPos val="t"/>
          <c:showLegendKey val="0"/>
          <c:showVal val="1"/>
          <c:showCatName val="0"/>
          <c:showSerName val="0"/>
          <c:showPercent val="0"/>
          <c:showBubbleSize val="0"/>
        </c:dLbls>
        <c:smooth val="0"/>
        <c:axId val="1315552863"/>
        <c:axId val="1315543263"/>
      </c:lineChart>
      <c:catAx>
        <c:axId val="131555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543263"/>
        <c:crosses val="autoZero"/>
        <c:auto val="1"/>
        <c:lblAlgn val="ctr"/>
        <c:lblOffset val="100"/>
        <c:noMultiLvlLbl val="0"/>
      </c:catAx>
      <c:valAx>
        <c:axId val="13155432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5528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[call_center_first_project.xlsx]pivit tables!calls per month</c:name>
    <c:fmtId val="4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dLbl>
          <c:idx val="0"/>
          <c:layout>
            <c:manualLayout>
              <c:x val="8.055555555555545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dLbl>
          <c:idx val="0"/>
          <c:layout>
            <c:manualLayout>
              <c:x val="-9.166666666666666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dLbl>
          <c:idx val="0"/>
          <c:layout>
            <c:manualLayout>
              <c:x val="-0.1416666666666666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rgbClr val="F23005"/>
          </a:solidFill>
          <a:ln w="19050">
            <a:solidFill>
              <a:schemeClr val="lt1"/>
            </a:solidFill>
          </a:ln>
          <a:effectLst/>
        </c:spPr>
        <c:dLbl>
          <c:idx val="0"/>
          <c:layout>
            <c:manualLayout>
              <c:x val="0.11353915284817311"/>
              <c:y val="-1.3593088574491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F2AB9B"/>
          </a:solidFill>
          <a:ln w="19050">
            <a:solidFill>
              <a:schemeClr val="lt1"/>
            </a:solidFill>
          </a:ln>
          <a:effectLst/>
        </c:spPr>
        <c:dLbl>
          <c:idx val="0"/>
          <c:layout>
            <c:manualLayout>
              <c:x val="-8.5154364636129909E-2"/>
              <c:y val="-5.43723542979669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18095302485177611"/>
              <c:y val="2.7186177148983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rgbClr val="F23005"/>
          </a:solidFill>
          <a:ln w="19050">
            <a:solidFill>
              <a:schemeClr val="lt1"/>
            </a:solidFill>
          </a:ln>
          <a:effectLst/>
        </c:spPr>
        <c:dLbl>
          <c:idx val="0"/>
          <c:layout>
            <c:manualLayout>
              <c:x val="0.11353915284817311"/>
              <c:y val="-1.3593088574491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8095302485177611"/>
              <c:y val="2.7186177148983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rgbClr val="F2AB9B"/>
          </a:solidFill>
          <a:ln w="19050">
            <a:solidFill>
              <a:schemeClr val="lt1"/>
            </a:solidFill>
          </a:ln>
          <a:effectLst/>
        </c:spPr>
        <c:dLbl>
          <c:idx val="0"/>
          <c:layout>
            <c:manualLayout>
              <c:x val="-8.5154364636129909E-2"/>
              <c:y val="-5.43723542979669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rgbClr val="F23005"/>
          </a:solidFill>
          <a:ln w="19050">
            <a:solidFill>
              <a:schemeClr val="lt1"/>
            </a:solidFill>
          </a:ln>
          <a:effectLst/>
        </c:spPr>
        <c:dLbl>
          <c:idx val="0"/>
          <c:layout>
            <c:manualLayout>
              <c:x val="0.11353915284817311"/>
              <c:y val="-1.35930885744917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8095302485177611"/>
              <c:y val="2.7186177148983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rgbClr val="F2AB9B"/>
          </a:solidFill>
          <a:ln w="19050">
            <a:solidFill>
              <a:schemeClr val="lt1"/>
            </a:solidFill>
          </a:ln>
          <a:effectLst/>
        </c:spPr>
        <c:dLbl>
          <c:idx val="0"/>
          <c:layout>
            <c:manualLayout>
              <c:x val="-8.5154364636129909E-2"/>
              <c:y val="-5.43723542979669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2345437499409449"/>
          <c:y val="0.24446898452061669"/>
          <c:w val="0.69780225264194262"/>
          <c:h val="0.85009399768035754"/>
        </c:manualLayout>
      </c:layout>
      <c:doughnutChart>
        <c:varyColors val="1"/>
        <c:ser>
          <c:idx val="0"/>
          <c:order val="0"/>
          <c:tx>
            <c:strRef>
              <c:f>'pivit tables'!$AI$9</c:f>
              <c:strCache>
                <c:ptCount val="1"/>
                <c:pt idx="0">
                  <c:v>Total</c:v>
                </c:pt>
              </c:strCache>
            </c:strRef>
          </c:tx>
          <c:dPt>
            <c:idx val="0"/>
            <c:bubble3D val="0"/>
            <c:spPr>
              <a:solidFill>
                <a:srgbClr val="F23005"/>
              </a:solidFill>
              <a:ln w="19050">
                <a:solidFill>
                  <a:schemeClr val="lt1"/>
                </a:solidFill>
              </a:ln>
              <a:effectLst/>
            </c:spPr>
            <c:extLst>
              <c:ext xmlns:c16="http://schemas.microsoft.com/office/drawing/2014/chart" uri="{C3380CC4-5D6E-409C-BE32-E72D297353CC}">
                <c16:uniqueId val="{00000001-BA11-4AF8-923E-E80997AF30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11-4AF8-923E-E80997AF30DD}"/>
              </c:ext>
            </c:extLst>
          </c:dPt>
          <c:dPt>
            <c:idx val="2"/>
            <c:bubble3D val="0"/>
            <c:spPr>
              <a:solidFill>
                <a:srgbClr val="F2AB9B"/>
              </a:solidFill>
              <a:ln w="19050">
                <a:solidFill>
                  <a:schemeClr val="lt1"/>
                </a:solidFill>
              </a:ln>
              <a:effectLst/>
            </c:spPr>
            <c:extLst>
              <c:ext xmlns:c16="http://schemas.microsoft.com/office/drawing/2014/chart" uri="{C3380CC4-5D6E-409C-BE32-E72D297353CC}">
                <c16:uniqueId val="{00000005-BA11-4AF8-923E-E80997AF30DD}"/>
              </c:ext>
            </c:extLst>
          </c:dPt>
          <c:dLbls>
            <c:dLbl>
              <c:idx val="0"/>
              <c:layout>
                <c:manualLayout>
                  <c:x val="0.11353915284817311"/>
                  <c:y val="-1.3593088574491732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BA11-4AF8-923E-E80997AF30DD}"/>
                </c:ext>
              </c:extLst>
            </c:dLbl>
            <c:dLbl>
              <c:idx val="1"/>
              <c:layout>
                <c:manualLayout>
                  <c:x val="-0.18095302485177611"/>
                  <c:y val="2.718617714898329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BA11-4AF8-923E-E80997AF30DD}"/>
                </c:ext>
              </c:extLst>
            </c:dLbl>
            <c:dLbl>
              <c:idx val="2"/>
              <c:layout>
                <c:manualLayout>
                  <c:x val="-8.5154364636129909E-2"/>
                  <c:y val="-5.437235429796692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A11-4AF8-923E-E80997AF30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'pivit tables'!$AH$10:$AH$12</c:f>
              <c:strCache>
                <c:ptCount val="3"/>
                <c:pt idx="0">
                  <c:v>February</c:v>
                </c:pt>
                <c:pt idx="1">
                  <c:v>January</c:v>
                </c:pt>
                <c:pt idx="2">
                  <c:v>March</c:v>
                </c:pt>
              </c:strCache>
            </c:strRef>
          </c:cat>
          <c:val>
            <c:numRef>
              <c:f>'pivit tables'!$AI$10:$AI$12</c:f>
              <c:numCache>
                <c:formatCode>0</c:formatCode>
                <c:ptCount val="3"/>
                <c:pt idx="0">
                  <c:v>336</c:v>
                </c:pt>
                <c:pt idx="1">
                  <c:v>325</c:v>
                </c:pt>
                <c:pt idx="2">
                  <c:v>315</c:v>
                </c:pt>
              </c:numCache>
            </c:numRef>
          </c:val>
          <c:extLst>
            <c:ext xmlns:c16="http://schemas.microsoft.com/office/drawing/2014/chart" uri="{C3380CC4-5D6E-409C-BE32-E72D297353CC}">
              <c16:uniqueId val="{00000006-BA11-4AF8-923E-E80997AF30DD}"/>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A4A8-486C-BDCF-A6A74DE4D689}">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A4A8-486C-BDCF-A6A74DE4D689}">
          <cx:dataPt idx="0">
            <cx:spPr>
              <a:solidFill>
                <a:srgbClr val="F2AB9B"/>
              </a:solidFill>
            </cx:spPr>
          </cx:dataPt>
          <cx:dataPt idx="1">
            <cx:spPr>
              <a:solidFill>
                <a:srgbClr val="F23005"/>
              </a:solidFill>
            </cx:spPr>
          </cx:dataPt>
          <cx:dataLabels pos="inEnd">
            <cx:visibility seriesName="1"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hyperlink" Target="#'time analysis'!A1"/><Relationship Id="rId2" Type="http://schemas.openxmlformats.org/officeDocument/2006/relationships/hyperlink" Target="#overview!A1"/><Relationship Id="rId1" Type="http://schemas.openxmlformats.org/officeDocument/2006/relationships/image" Target="../media/image1.png"/><Relationship Id="rId6" Type="http://schemas.openxmlformats.org/officeDocument/2006/relationships/hyperlink" Target="#Recommendations!A1"/><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4.png"/><Relationship Id="rId7" Type="http://schemas.openxmlformats.org/officeDocument/2006/relationships/chart" Target="../charts/chart6.xml"/><Relationship Id="rId2" Type="http://schemas.openxmlformats.org/officeDocument/2006/relationships/hyperlink" Target="#'time analysis'!A1"/><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9.xml"/><Relationship Id="rId5" Type="http://schemas.openxmlformats.org/officeDocument/2006/relationships/hyperlink" Target="#'Home Page'!A1"/><Relationship Id="rId10" Type="http://schemas.microsoft.com/office/2014/relationships/chartEx" Target="../charts/chartEx2.xml"/><Relationship Id="rId4" Type="http://schemas.openxmlformats.org/officeDocument/2006/relationships/hyperlink" Target="#overview!A1"/><Relationship Id="rId9"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4.png"/><Relationship Id="rId7" Type="http://schemas.openxmlformats.org/officeDocument/2006/relationships/chart" Target="../charts/chart10.xml"/><Relationship Id="rId2" Type="http://schemas.openxmlformats.org/officeDocument/2006/relationships/hyperlink" Target="#Recommendation!A1"/><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hyperlink" Target="#overview!A1"/><Relationship Id="rId4" Type="http://schemas.openxmlformats.org/officeDocument/2006/relationships/hyperlink" Target="#'Home Page'!A1"/><Relationship Id="rId9"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7.png"/><Relationship Id="rId2" Type="http://schemas.openxmlformats.org/officeDocument/2006/relationships/hyperlink" Target="#'Home Page'!A1"/><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hyperlink" Target="#'time analysis'!A1"/></Relationships>
</file>

<file path=xl/drawings/drawing1.xml><?xml version="1.0" encoding="utf-8"?>
<xdr:wsDr xmlns:xdr="http://schemas.openxmlformats.org/drawingml/2006/spreadsheetDrawing" xmlns:a="http://schemas.openxmlformats.org/drawingml/2006/main">
  <xdr:twoCellAnchor editAs="oneCell">
    <xdr:from>
      <xdr:col>0</xdr:col>
      <xdr:colOff>1190625</xdr:colOff>
      <xdr:row>4</xdr:row>
      <xdr:rowOff>123825</xdr:rowOff>
    </xdr:from>
    <xdr:to>
      <xdr:col>3</xdr:col>
      <xdr:colOff>533400</xdr:colOff>
      <xdr:row>18</xdr:row>
      <xdr:rowOff>123825</xdr:rowOff>
    </xdr:to>
    <mc:AlternateContent xmlns:mc="http://schemas.openxmlformats.org/markup-compatibility/2006" xmlns:a14="http://schemas.microsoft.com/office/drawing/2010/main">
      <mc:Choice Requires="a14">
        <xdr:graphicFrame macro="">
          <xdr:nvGraphicFramePr>
            <xdr:cNvPr id="2" name="Topic">
              <a:extLst>
                <a:ext uri="{FF2B5EF4-FFF2-40B4-BE49-F238E27FC236}">
                  <a16:creationId xmlns:a16="http://schemas.microsoft.com/office/drawing/2014/main" id="{50C956B6-00F6-EFCC-DE05-7F8AD9F55145}"/>
                </a:ext>
              </a:extLst>
            </xdr:cNvPr>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mlns="">
        <xdr:sp macro="" textlink="">
          <xdr:nvSpPr>
            <xdr:cNvPr id="0" name=""/>
            <xdr:cNvSpPr>
              <a:spLocks noTextEdit="1"/>
            </xdr:cNvSpPr>
          </xdr:nvSpPr>
          <xdr:spPr>
            <a:xfrm>
              <a:off x="895350" y="895175"/>
              <a:ext cx="1829384" cy="2699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828675</xdr:colOff>
      <xdr:row>6</xdr:row>
      <xdr:rowOff>152400</xdr:rowOff>
    </xdr:from>
    <xdr:to>
      <xdr:col>4</xdr:col>
      <xdr:colOff>571500</xdr:colOff>
      <xdr:row>20</xdr:row>
      <xdr:rowOff>152400</xdr:rowOff>
    </xdr:to>
    <mc:AlternateContent xmlns:mc="http://schemas.openxmlformats.org/markup-compatibility/2006" xmlns:a14="http://schemas.microsoft.com/office/drawing/2010/main">
      <mc:Choice Requires="a14">
        <xdr:graphicFrame macro="">
          <xdr:nvGraphicFramePr>
            <xdr:cNvPr id="3" name="Agent">
              <a:extLst>
                <a:ext uri="{FF2B5EF4-FFF2-40B4-BE49-F238E27FC236}">
                  <a16:creationId xmlns:a16="http://schemas.microsoft.com/office/drawing/2014/main" id="{405D6798-C2A6-0647-11BF-D9956F053B78}"/>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1541764" y="1309425"/>
              <a:ext cx="1828800" cy="2699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1162050</xdr:colOff>
      <xdr:row>25</xdr:row>
      <xdr:rowOff>119062</xdr:rowOff>
    </xdr:from>
    <xdr:to>
      <xdr:col>17</xdr:col>
      <xdr:colOff>314325</xdr:colOff>
      <xdr:row>40</xdr:row>
      <xdr:rowOff>4762</xdr:rowOff>
    </xdr:to>
    <xdr:graphicFrame macro="">
      <xdr:nvGraphicFramePr>
        <xdr:cNvPr id="4" name="Chart 3">
          <a:extLst>
            <a:ext uri="{FF2B5EF4-FFF2-40B4-BE49-F238E27FC236}">
              <a16:creationId xmlns:a16="http://schemas.microsoft.com/office/drawing/2014/main" id="{73FD61D7-25E8-4585-C9E3-A80659683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485775</xdr:colOff>
      <xdr:row>28</xdr:row>
      <xdr:rowOff>9525</xdr:rowOff>
    </xdr:from>
    <xdr:to>
      <xdr:col>11</xdr:col>
      <xdr:colOff>790575</xdr:colOff>
      <xdr:row>36</xdr:row>
      <xdr:rowOff>33337</xdr:rowOff>
    </xdr:to>
    <xdr:graphicFrame macro="">
      <xdr:nvGraphicFramePr>
        <xdr:cNvPr id="6" name="Chart 5">
          <a:extLst>
            <a:ext uri="{FF2B5EF4-FFF2-40B4-BE49-F238E27FC236}">
              <a16:creationId xmlns:a16="http://schemas.microsoft.com/office/drawing/2014/main" id="{3F4A0F9B-4CAF-5664-7DCF-B0671B3EC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12153</xdr:colOff>
      <xdr:row>39</xdr:row>
      <xdr:rowOff>7882</xdr:rowOff>
    </xdr:from>
    <xdr:to>
      <xdr:col>11</xdr:col>
      <xdr:colOff>1019832</xdr:colOff>
      <xdr:row>47</xdr:row>
      <xdr:rowOff>31694</xdr:rowOff>
    </xdr:to>
    <xdr:graphicFrame macro="">
      <xdr:nvGraphicFramePr>
        <xdr:cNvPr id="7" name="Chart 6">
          <a:extLst>
            <a:ext uri="{FF2B5EF4-FFF2-40B4-BE49-F238E27FC236}">
              <a16:creationId xmlns:a16="http://schemas.microsoft.com/office/drawing/2014/main" id="{242591CF-AEA2-4175-70BC-45A6A77FE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123169</xdr:colOff>
      <xdr:row>38</xdr:row>
      <xdr:rowOff>131379</xdr:rowOff>
    </xdr:from>
    <xdr:to>
      <xdr:col>7</xdr:col>
      <xdr:colOff>755432</xdr:colOff>
      <xdr:row>47</xdr:row>
      <xdr:rowOff>115283</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14AD6063-96AD-F3D9-6EBD-0849619B31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533119" y="7370379"/>
              <a:ext cx="1851463" cy="169840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320237</xdr:colOff>
      <xdr:row>9</xdr:row>
      <xdr:rowOff>73901</xdr:rowOff>
    </xdr:from>
    <xdr:to>
      <xdr:col>21</xdr:col>
      <xdr:colOff>566573</xdr:colOff>
      <xdr:row>18</xdr:row>
      <xdr:rowOff>57806</xdr:rowOff>
    </xdr:to>
    <xdr:graphicFrame macro="">
      <xdr:nvGraphicFramePr>
        <xdr:cNvPr id="9" name="Chart 8">
          <a:extLst>
            <a:ext uri="{FF2B5EF4-FFF2-40B4-BE49-F238E27FC236}">
              <a16:creationId xmlns:a16="http://schemas.microsoft.com/office/drawing/2014/main" id="{2239D77C-B8CC-DF58-1E0A-029771EF5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131379</xdr:colOff>
      <xdr:row>6</xdr:row>
      <xdr:rowOff>23374</xdr:rowOff>
    </xdr:from>
    <xdr:to>
      <xdr:col>32</xdr:col>
      <xdr:colOff>479172</xdr:colOff>
      <xdr:row>19</xdr:row>
      <xdr:rowOff>66019</xdr:rowOff>
    </xdr:to>
    <xdr:graphicFrame macro="">
      <xdr:nvGraphicFramePr>
        <xdr:cNvPr id="15" name="Chart 14">
          <a:extLst>
            <a:ext uri="{FF2B5EF4-FFF2-40B4-BE49-F238E27FC236}">
              <a16:creationId xmlns:a16="http://schemas.microsoft.com/office/drawing/2014/main" id="{34D6BC17-D3E5-EFA4-F67D-9E72EF9C9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155121</xdr:rowOff>
    </xdr:from>
    <xdr:to>
      <xdr:col>34</xdr:col>
      <xdr:colOff>68035</xdr:colOff>
      <xdr:row>38</xdr:row>
      <xdr:rowOff>149678</xdr:rowOff>
    </xdr:to>
    <xdr:sp macro="" textlink="">
      <xdr:nvSpPr>
        <xdr:cNvPr id="2" name="Rectangle: Rounded Corners 1">
          <a:extLst>
            <a:ext uri="{FF2B5EF4-FFF2-40B4-BE49-F238E27FC236}">
              <a16:creationId xmlns:a16="http://schemas.microsoft.com/office/drawing/2014/main" id="{FEA343BB-89E7-4A38-9E4C-7A16FD412914}"/>
            </a:ext>
          </a:extLst>
        </xdr:cNvPr>
        <xdr:cNvSpPr/>
      </xdr:nvSpPr>
      <xdr:spPr>
        <a:xfrm>
          <a:off x="0" y="155121"/>
          <a:ext cx="20886964" cy="7233557"/>
        </a:xfrm>
        <a:prstGeom prst="roundRect">
          <a:avLst/>
        </a:prstGeom>
        <a:solidFill>
          <a:schemeClr val="bg1"/>
        </a:solidFill>
        <a:ln w="28575">
          <a:solidFill>
            <a:srgbClr val="F2300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editAs="oneCell">
    <xdr:from>
      <xdr:col>1</xdr:col>
      <xdr:colOff>557893</xdr:colOff>
      <xdr:row>4</xdr:row>
      <xdr:rowOff>32657</xdr:rowOff>
    </xdr:from>
    <xdr:to>
      <xdr:col>8</xdr:col>
      <xdr:colOff>312965</xdr:colOff>
      <xdr:row>19</xdr:row>
      <xdr:rowOff>55349</xdr:rowOff>
    </xdr:to>
    <xdr:pic>
      <xdr:nvPicPr>
        <xdr:cNvPr id="3" name="Picture 2">
          <a:extLst>
            <a:ext uri="{FF2B5EF4-FFF2-40B4-BE49-F238E27FC236}">
              <a16:creationId xmlns:a16="http://schemas.microsoft.com/office/drawing/2014/main" id="{265DC3C3-7092-4FC5-99DF-FD23C68E97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214" y="794657"/>
          <a:ext cx="4041322" cy="2880192"/>
        </a:xfrm>
        <a:prstGeom prst="rect">
          <a:avLst/>
        </a:prstGeom>
        <a:ln>
          <a:noFill/>
        </a:ln>
        <a:effectLst>
          <a:softEdge rad="112500"/>
        </a:effectLst>
      </xdr:spPr>
    </xdr:pic>
    <xdr:clientData/>
  </xdr:twoCellAnchor>
  <xdr:twoCellAnchor>
    <xdr:from>
      <xdr:col>14</xdr:col>
      <xdr:colOff>54429</xdr:colOff>
      <xdr:row>13</xdr:row>
      <xdr:rowOff>163285</xdr:rowOff>
    </xdr:from>
    <xdr:to>
      <xdr:col>18</xdr:col>
      <xdr:colOff>272143</xdr:colOff>
      <xdr:row>18</xdr:row>
      <xdr:rowOff>50073</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E020B56-72D0-405C-87BB-9AABCE74BE27}"/>
            </a:ext>
          </a:extLst>
        </xdr:cNvPr>
        <xdr:cNvSpPr/>
      </xdr:nvSpPr>
      <xdr:spPr>
        <a:xfrm>
          <a:off x="8626929" y="2639785"/>
          <a:ext cx="2667000" cy="839288"/>
        </a:xfrm>
        <a:prstGeom prst="roundRect">
          <a:avLst/>
        </a:prstGeom>
        <a:solidFill>
          <a:schemeClr val="bg1"/>
        </a:solidFill>
        <a:ln w="28575">
          <a:solidFill>
            <a:schemeClr val="bg1">
              <a:lumMod val="65000"/>
            </a:schemeClr>
          </a:solidFill>
        </a:ln>
        <a:effectLst>
          <a:glow rad="1397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i="1">
              <a:solidFill>
                <a:schemeClr val="dk1"/>
              </a:solidFill>
              <a:latin typeface="Bookman Old Style" panose="02050604050505020204" pitchFamily="18" charset="0"/>
              <a:ea typeface="+mn-ea"/>
              <a:cs typeface="+mn-cs"/>
            </a:rPr>
            <a:t>Overview </a:t>
          </a:r>
          <a:endParaRPr lang="LID4096" sz="2400" b="1" i="1">
            <a:solidFill>
              <a:schemeClr val="dk1"/>
            </a:solidFill>
            <a:latin typeface="Bookman Old Style" panose="02050604050505020204" pitchFamily="18" charset="0"/>
            <a:ea typeface="+mn-ea"/>
            <a:cs typeface="+mn-cs"/>
          </a:endParaRPr>
        </a:p>
      </xdr:txBody>
    </xdr:sp>
    <xdr:clientData/>
  </xdr:twoCellAnchor>
  <xdr:twoCellAnchor>
    <xdr:from>
      <xdr:col>10</xdr:col>
      <xdr:colOff>152400</xdr:colOff>
      <xdr:row>21</xdr:row>
      <xdr:rowOff>43542</xdr:rowOff>
    </xdr:from>
    <xdr:to>
      <xdr:col>14</xdr:col>
      <xdr:colOff>370114</xdr:colOff>
      <xdr:row>25</xdr:row>
      <xdr:rowOff>120830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956F81BD-8C5A-47D1-9B0B-BCFB2B306A2D}"/>
            </a:ext>
          </a:extLst>
        </xdr:cNvPr>
        <xdr:cNvSpPr/>
      </xdr:nvSpPr>
      <xdr:spPr>
        <a:xfrm>
          <a:off x="6275614" y="4044042"/>
          <a:ext cx="2667000" cy="839288"/>
        </a:xfrm>
        <a:prstGeom prst="roundRect">
          <a:avLst/>
        </a:prstGeom>
        <a:solidFill>
          <a:schemeClr val="bg1"/>
        </a:solidFill>
        <a:ln w="28575">
          <a:solidFill>
            <a:schemeClr val="bg1">
              <a:lumMod val="65000"/>
            </a:schemeClr>
          </a:solidFill>
        </a:ln>
        <a:effectLst>
          <a:glow rad="1397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1">
              <a:solidFill>
                <a:schemeClr val="dk1"/>
              </a:solidFill>
              <a:latin typeface="Bookman Old Style" panose="02050604050505020204" pitchFamily="18" charset="0"/>
              <a:ea typeface="+mn-ea"/>
              <a:cs typeface="+mn-cs"/>
            </a:rPr>
            <a:t>Time</a:t>
          </a:r>
          <a:r>
            <a:rPr lang="en-US" sz="2000" b="1" i="1" baseline="0">
              <a:solidFill>
                <a:schemeClr val="dk1"/>
              </a:solidFill>
              <a:latin typeface="Bookman Old Style" panose="02050604050505020204" pitchFamily="18" charset="0"/>
              <a:ea typeface="+mn-ea"/>
              <a:cs typeface="+mn-cs"/>
            </a:rPr>
            <a:t> Analysis</a:t>
          </a:r>
          <a:endParaRPr lang="LID4096" sz="2000" b="1" i="1">
            <a:solidFill>
              <a:schemeClr val="dk1"/>
            </a:solidFill>
            <a:latin typeface="Bookman Old Style" panose="02050604050505020204" pitchFamily="18" charset="0"/>
            <a:ea typeface="+mn-ea"/>
            <a:cs typeface="+mn-cs"/>
          </a:endParaRPr>
        </a:p>
      </xdr:txBody>
    </xdr:sp>
    <xdr:clientData/>
  </xdr:twoCellAnchor>
  <xdr:twoCellAnchor editAs="oneCell">
    <xdr:from>
      <xdr:col>17</xdr:col>
      <xdr:colOff>533400</xdr:colOff>
      <xdr:row>20</xdr:row>
      <xdr:rowOff>57148</xdr:rowOff>
    </xdr:from>
    <xdr:to>
      <xdr:col>23</xdr:col>
      <xdr:colOff>259523</xdr:colOff>
      <xdr:row>37</xdr:row>
      <xdr:rowOff>1631</xdr:rowOff>
    </xdr:to>
    <xdr:pic>
      <xdr:nvPicPr>
        <xdr:cNvPr id="7" name="Picture 6">
          <a:extLst>
            <a:ext uri="{FF2B5EF4-FFF2-40B4-BE49-F238E27FC236}">
              <a16:creationId xmlns:a16="http://schemas.microsoft.com/office/drawing/2014/main" id="{82774D50-8A09-4365-8F59-74FAA891E87D}"/>
            </a:ext>
          </a:extLst>
        </xdr:cNvPr>
        <xdr:cNvPicPr>
          <a:picLocks noChangeAspect="1"/>
        </xdr:cNvPicPr>
      </xdr:nvPicPr>
      <xdr:blipFill>
        <a:blip xmlns:r="http://schemas.openxmlformats.org/officeDocument/2006/relationships" r:embed="rId4"/>
        <a:stretch>
          <a:fillRect/>
        </a:stretch>
      </xdr:blipFill>
      <xdr:spPr>
        <a:xfrm>
          <a:off x="10942864" y="3867148"/>
          <a:ext cx="3400052" cy="3182983"/>
        </a:xfrm>
        <a:prstGeom prst="rect">
          <a:avLst/>
        </a:prstGeom>
      </xdr:spPr>
    </xdr:pic>
    <xdr:clientData/>
  </xdr:twoCellAnchor>
  <xdr:twoCellAnchor editAs="oneCell">
    <xdr:from>
      <xdr:col>23</xdr:col>
      <xdr:colOff>410934</xdr:colOff>
      <xdr:row>4</xdr:row>
      <xdr:rowOff>166007</xdr:rowOff>
    </xdr:from>
    <xdr:to>
      <xdr:col>32</xdr:col>
      <xdr:colOff>514349</xdr:colOff>
      <xdr:row>34</xdr:row>
      <xdr:rowOff>187779</xdr:rowOff>
    </xdr:to>
    <xdr:pic>
      <xdr:nvPicPr>
        <xdr:cNvPr id="8" name="Picture 7">
          <a:extLst>
            <a:ext uri="{FF2B5EF4-FFF2-40B4-BE49-F238E27FC236}">
              <a16:creationId xmlns:a16="http://schemas.microsoft.com/office/drawing/2014/main" id="{6404688D-9DFD-4023-A25A-1AC5DD50C182}"/>
            </a:ext>
          </a:extLst>
        </xdr:cNvPr>
        <xdr:cNvPicPr>
          <a:picLocks noChangeAspect="1"/>
        </xdr:cNvPicPr>
      </xdr:nvPicPr>
      <xdr:blipFill>
        <a:blip xmlns:r="http://schemas.openxmlformats.org/officeDocument/2006/relationships" r:embed="rId5"/>
        <a:stretch>
          <a:fillRect/>
        </a:stretch>
      </xdr:blipFill>
      <xdr:spPr>
        <a:xfrm>
          <a:off x="14494327" y="928007"/>
          <a:ext cx="5614308" cy="5736772"/>
        </a:xfrm>
        <a:prstGeom prst="rect">
          <a:avLst/>
        </a:prstGeom>
      </xdr:spPr>
    </xdr:pic>
    <xdr:clientData/>
  </xdr:twoCellAnchor>
  <xdr:twoCellAnchor>
    <xdr:from>
      <xdr:col>7</xdr:col>
      <xdr:colOff>370115</xdr:colOff>
      <xdr:row>29</xdr:row>
      <xdr:rowOff>57149</xdr:rowOff>
    </xdr:from>
    <xdr:to>
      <xdr:col>11</xdr:col>
      <xdr:colOff>587829</xdr:colOff>
      <xdr:row>33</xdr:row>
      <xdr:rowOff>134437</xdr:rowOff>
    </xdr:to>
    <xdr:sp macro="" textlink="">
      <xdr:nvSpPr>
        <xdr:cNvPr id="4" name="Rectangle: Rounded Corners 3">
          <a:hlinkClick xmlns:r="http://schemas.openxmlformats.org/officeDocument/2006/relationships" r:id="rId6"/>
          <a:extLst>
            <a:ext uri="{FF2B5EF4-FFF2-40B4-BE49-F238E27FC236}">
              <a16:creationId xmlns:a16="http://schemas.microsoft.com/office/drawing/2014/main" id="{707305CB-2218-4561-96AD-CE37EBD1D132}"/>
            </a:ext>
          </a:extLst>
        </xdr:cNvPr>
        <xdr:cNvSpPr/>
      </xdr:nvSpPr>
      <xdr:spPr>
        <a:xfrm>
          <a:off x="4656365" y="5581649"/>
          <a:ext cx="2667000" cy="839288"/>
        </a:xfrm>
        <a:prstGeom prst="roundRect">
          <a:avLst/>
        </a:prstGeom>
        <a:solidFill>
          <a:schemeClr val="bg1"/>
        </a:solidFill>
        <a:ln w="28575">
          <a:solidFill>
            <a:schemeClr val="bg1">
              <a:lumMod val="65000"/>
            </a:schemeClr>
          </a:solidFill>
        </a:ln>
        <a:effectLst>
          <a:glow rad="139700">
            <a:schemeClr val="tx1">
              <a:lumMod val="50000"/>
              <a:lumOff val="5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1">
              <a:solidFill>
                <a:schemeClr val="dk1"/>
              </a:solidFill>
              <a:latin typeface="Bookman Old Style" panose="02050604050505020204" pitchFamily="18" charset="0"/>
              <a:ea typeface="+mn-ea"/>
              <a:cs typeface="+mn-cs"/>
            </a:rPr>
            <a:t>Recommendations</a:t>
          </a:r>
          <a:endParaRPr lang="LID4096" sz="1800" b="1" i="1">
            <a:solidFill>
              <a:schemeClr val="dk1"/>
            </a:solidFill>
            <a:latin typeface="Bookman Old Style" panose="02050604050505020204" pitchFamily="18" charset="0"/>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489857</xdr:colOff>
      <xdr:row>40</xdr:row>
      <xdr:rowOff>68036</xdr:rowOff>
    </xdr:to>
    <xdr:sp macro="" textlink="">
      <xdr:nvSpPr>
        <xdr:cNvPr id="2" name="Rectangle: Rounded Corners 1">
          <a:extLst>
            <a:ext uri="{FF2B5EF4-FFF2-40B4-BE49-F238E27FC236}">
              <a16:creationId xmlns:a16="http://schemas.microsoft.com/office/drawing/2014/main" id="{C80E2405-9EF2-85B6-54A5-67E6946CA168}"/>
            </a:ext>
          </a:extLst>
        </xdr:cNvPr>
        <xdr:cNvSpPr/>
      </xdr:nvSpPr>
      <xdr:spPr>
        <a:xfrm>
          <a:off x="0" y="0"/>
          <a:ext cx="22533428" cy="7688036"/>
        </a:xfrm>
        <a:prstGeom prst="roundRect">
          <a:avLst/>
        </a:prstGeom>
        <a:solidFill>
          <a:srgbClr val="F2F2F2"/>
        </a:solidFill>
        <a:ln>
          <a:solidFill>
            <a:srgbClr val="F2300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13608</xdr:colOff>
      <xdr:row>7</xdr:row>
      <xdr:rowOff>136072</xdr:rowOff>
    </xdr:from>
    <xdr:to>
      <xdr:col>4</xdr:col>
      <xdr:colOff>530678</xdr:colOff>
      <xdr:row>35</xdr:row>
      <xdr:rowOff>149680</xdr:rowOff>
    </xdr:to>
    <xdr:sp macro="" textlink="">
      <xdr:nvSpPr>
        <xdr:cNvPr id="4" name="Rectangle: Rounded Corners 3">
          <a:extLst>
            <a:ext uri="{FF2B5EF4-FFF2-40B4-BE49-F238E27FC236}">
              <a16:creationId xmlns:a16="http://schemas.microsoft.com/office/drawing/2014/main" id="{86986EC6-6A89-4F7B-AA59-88AD553B57C4}"/>
            </a:ext>
          </a:extLst>
        </xdr:cNvPr>
        <xdr:cNvSpPr/>
      </xdr:nvSpPr>
      <xdr:spPr>
        <a:xfrm>
          <a:off x="625929" y="1469572"/>
          <a:ext cx="2354035" cy="5347608"/>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8</xdr:col>
      <xdr:colOff>163286</xdr:colOff>
      <xdr:row>4</xdr:row>
      <xdr:rowOff>108857</xdr:rowOff>
    </xdr:from>
    <xdr:to>
      <xdr:col>13</xdr:col>
      <xdr:colOff>40821</xdr:colOff>
      <xdr:row>9</xdr:row>
      <xdr:rowOff>163286</xdr:rowOff>
    </xdr:to>
    <xdr:sp macro="" textlink="">
      <xdr:nvSpPr>
        <xdr:cNvPr id="5" name="Rectangle: Rounded Corners 4">
          <a:extLst>
            <a:ext uri="{FF2B5EF4-FFF2-40B4-BE49-F238E27FC236}">
              <a16:creationId xmlns:a16="http://schemas.microsoft.com/office/drawing/2014/main" id="{3A2842D0-0753-462B-BF5F-7A74C98221FB}"/>
            </a:ext>
          </a:extLst>
        </xdr:cNvPr>
        <xdr:cNvSpPr/>
      </xdr:nvSpPr>
      <xdr:spPr>
        <a:xfrm>
          <a:off x="5061857" y="870857"/>
          <a:ext cx="2939143" cy="1006929"/>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0">
              <a:solidFill>
                <a:schemeClr val="dk1"/>
              </a:solidFill>
              <a:latin typeface="Bookman Old Style" panose="02050604050505020204" pitchFamily="18" charset="0"/>
              <a:ea typeface="+mn-ea"/>
              <a:cs typeface="+mn-cs"/>
            </a:rPr>
            <a:t>Total</a:t>
          </a:r>
          <a:r>
            <a:rPr lang="en-US" sz="1800" i="0" baseline="0">
              <a:solidFill>
                <a:schemeClr val="tx1"/>
              </a:solidFill>
            </a:rPr>
            <a:t> </a:t>
          </a:r>
          <a:r>
            <a:rPr lang="en-US" sz="2000" b="1" i="0">
              <a:solidFill>
                <a:schemeClr val="dk1"/>
              </a:solidFill>
              <a:latin typeface="Bookman Old Style" panose="02050604050505020204" pitchFamily="18" charset="0"/>
              <a:ea typeface="+mn-ea"/>
              <a:cs typeface="+mn-cs"/>
            </a:rPr>
            <a:t>calls</a:t>
          </a:r>
          <a:endParaRPr lang="LID4096" sz="2000" b="1" i="0">
            <a:solidFill>
              <a:schemeClr val="dk1"/>
            </a:solidFill>
            <a:latin typeface="Bookman Old Style" panose="02050604050505020204" pitchFamily="18" charset="0"/>
            <a:ea typeface="+mn-ea"/>
            <a:cs typeface="+mn-cs"/>
          </a:endParaRPr>
        </a:p>
      </xdr:txBody>
    </xdr:sp>
    <xdr:clientData/>
  </xdr:twoCellAnchor>
  <xdr:twoCellAnchor editAs="oneCell">
    <xdr:from>
      <xdr:col>4</xdr:col>
      <xdr:colOff>571499</xdr:colOff>
      <xdr:row>3</xdr:row>
      <xdr:rowOff>54429</xdr:rowOff>
    </xdr:from>
    <xdr:to>
      <xdr:col>7</xdr:col>
      <xdr:colOff>511628</xdr:colOff>
      <xdr:row>9</xdr:row>
      <xdr:rowOff>179615</xdr:rowOff>
    </xdr:to>
    <xdr:pic>
      <xdr:nvPicPr>
        <xdr:cNvPr id="6" name="Picture 5">
          <a:extLst>
            <a:ext uri="{FF2B5EF4-FFF2-40B4-BE49-F238E27FC236}">
              <a16:creationId xmlns:a16="http://schemas.microsoft.com/office/drawing/2014/main" id="{7A0A5121-2945-4DC7-B004-20001754B8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20785" y="625929"/>
          <a:ext cx="1777093" cy="1268186"/>
        </a:xfrm>
        <a:prstGeom prst="rect">
          <a:avLst/>
        </a:prstGeom>
        <a:ln>
          <a:noFill/>
        </a:ln>
        <a:effectLst>
          <a:softEdge rad="112500"/>
        </a:effectLst>
      </xdr:spPr>
    </xdr:pic>
    <xdr:clientData/>
  </xdr:twoCellAnchor>
  <xdr:twoCellAnchor editAs="oneCell">
    <xdr:from>
      <xdr:col>31</xdr:col>
      <xdr:colOff>108858</xdr:colOff>
      <xdr:row>4</xdr:row>
      <xdr:rowOff>163286</xdr:rowOff>
    </xdr:from>
    <xdr:to>
      <xdr:col>32</xdr:col>
      <xdr:colOff>212271</xdr:colOff>
      <xdr:row>7</xdr:row>
      <xdr:rowOff>108857</xdr:rowOff>
    </xdr:to>
    <xdr:pic>
      <xdr:nvPicPr>
        <xdr:cNvPr id="9" name="Picture 8">
          <a:hlinkClick xmlns:r="http://schemas.openxmlformats.org/officeDocument/2006/relationships" r:id="rId2"/>
          <a:extLst>
            <a:ext uri="{FF2B5EF4-FFF2-40B4-BE49-F238E27FC236}">
              <a16:creationId xmlns:a16="http://schemas.microsoft.com/office/drawing/2014/main" id="{A36D06AF-E50D-46B9-BD0F-62804C89468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090822" y="925286"/>
          <a:ext cx="715735" cy="517071"/>
        </a:xfrm>
        <a:prstGeom prst="rect">
          <a:avLst/>
        </a:prstGeom>
      </xdr:spPr>
    </xdr:pic>
    <xdr:clientData/>
  </xdr:twoCellAnchor>
  <xdr:twoCellAnchor editAs="oneCell">
    <xdr:from>
      <xdr:col>31</xdr:col>
      <xdr:colOff>519793</xdr:colOff>
      <xdr:row>4</xdr:row>
      <xdr:rowOff>166007</xdr:rowOff>
    </xdr:from>
    <xdr:to>
      <xdr:col>33</xdr:col>
      <xdr:colOff>10885</xdr:colOff>
      <xdr:row>7</xdr:row>
      <xdr:rowOff>111578</xdr:rowOff>
    </xdr:to>
    <xdr:pic>
      <xdr:nvPicPr>
        <xdr:cNvPr id="10" name="Picture 9">
          <a:hlinkClick xmlns:r="http://schemas.openxmlformats.org/officeDocument/2006/relationships" r:id="rId2"/>
          <a:extLst>
            <a:ext uri="{FF2B5EF4-FFF2-40B4-BE49-F238E27FC236}">
              <a16:creationId xmlns:a16="http://schemas.microsoft.com/office/drawing/2014/main" id="{9170D064-D352-45CA-8C51-D99B17E400A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501757" y="928007"/>
          <a:ext cx="715735" cy="517071"/>
        </a:xfrm>
        <a:prstGeom prst="rect">
          <a:avLst/>
        </a:prstGeom>
      </xdr:spPr>
    </xdr:pic>
    <xdr:clientData/>
  </xdr:twoCellAnchor>
  <xdr:twoCellAnchor editAs="oneCell">
    <xdr:from>
      <xdr:col>1</xdr:col>
      <xdr:colOff>108857</xdr:colOff>
      <xdr:row>3</xdr:row>
      <xdr:rowOff>13608</xdr:rowOff>
    </xdr:from>
    <xdr:to>
      <xdr:col>2</xdr:col>
      <xdr:colOff>212270</xdr:colOff>
      <xdr:row>5</xdr:row>
      <xdr:rowOff>149679</xdr:rowOff>
    </xdr:to>
    <xdr:pic>
      <xdr:nvPicPr>
        <xdr:cNvPr id="11" name="Picture 10">
          <a:hlinkClick xmlns:r="http://schemas.openxmlformats.org/officeDocument/2006/relationships" r:id="rId4"/>
          <a:extLst>
            <a:ext uri="{FF2B5EF4-FFF2-40B4-BE49-F238E27FC236}">
              <a16:creationId xmlns:a16="http://schemas.microsoft.com/office/drawing/2014/main" id="{06DE0124-351F-491E-9CD9-D8D0BBD807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721178" y="585108"/>
          <a:ext cx="715735" cy="517071"/>
        </a:xfrm>
        <a:prstGeom prst="rect">
          <a:avLst/>
        </a:prstGeom>
      </xdr:spPr>
    </xdr:pic>
    <xdr:clientData/>
  </xdr:twoCellAnchor>
  <xdr:twoCellAnchor editAs="oneCell">
    <xdr:from>
      <xdr:col>1</xdr:col>
      <xdr:colOff>476251</xdr:colOff>
      <xdr:row>2</xdr:row>
      <xdr:rowOff>176894</xdr:rowOff>
    </xdr:from>
    <xdr:to>
      <xdr:col>2</xdr:col>
      <xdr:colOff>579664</xdr:colOff>
      <xdr:row>5</xdr:row>
      <xdr:rowOff>122465</xdr:rowOff>
    </xdr:to>
    <xdr:pic>
      <xdr:nvPicPr>
        <xdr:cNvPr id="12" name="Picture 11">
          <a:hlinkClick xmlns:r="http://schemas.openxmlformats.org/officeDocument/2006/relationships" r:id="rId5"/>
          <a:extLst>
            <a:ext uri="{FF2B5EF4-FFF2-40B4-BE49-F238E27FC236}">
              <a16:creationId xmlns:a16="http://schemas.microsoft.com/office/drawing/2014/main" id="{1602D705-6684-45C2-81C2-E067DF2BE1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1088572" y="557894"/>
          <a:ext cx="715735" cy="517071"/>
        </a:xfrm>
        <a:prstGeom prst="rect">
          <a:avLst/>
        </a:prstGeom>
      </xdr:spPr>
    </xdr:pic>
    <xdr:clientData/>
  </xdr:twoCellAnchor>
  <xdr:twoCellAnchor editAs="oneCell">
    <xdr:from>
      <xdr:col>1</xdr:col>
      <xdr:colOff>312965</xdr:colOff>
      <xdr:row>8</xdr:row>
      <xdr:rowOff>176893</xdr:rowOff>
    </xdr:from>
    <xdr:to>
      <xdr:col>2</xdr:col>
      <xdr:colOff>155121</xdr:colOff>
      <xdr:row>11</xdr:row>
      <xdr:rowOff>100693</xdr:rowOff>
    </xdr:to>
    <xdr:pic macro="[0]!remove_filters">
      <xdr:nvPicPr>
        <xdr:cNvPr id="13" name="Picture 12">
          <a:extLst>
            <a:ext uri="{FF2B5EF4-FFF2-40B4-BE49-F238E27FC236}">
              <a16:creationId xmlns:a16="http://schemas.microsoft.com/office/drawing/2014/main" id="{A5AAECE3-2558-4CB0-BAA9-4A397104B5B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25286" y="1700893"/>
          <a:ext cx="454478" cy="495300"/>
        </a:xfrm>
        <a:prstGeom prst="rect">
          <a:avLst/>
        </a:prstGeom>
      </xdr:spPr>
    </xdr:pic>
    <xdr:clientData/>
  </xdr:twoCellAnchor>
  <xdr:twoCellAnchor>
    <xdr:from>
      <xdr:col>2</xdr:col>
      <xdr:colOff>244928</xdr:colOff>
      <xdr:row>9</xdr:row>
      <xdr:rowOff>54429</xdr:rowOff>
    </xdr:from>
    <xdr:to>
      <xdr:col>4</xdr:col>
      <xdr:colOff>190500</xdr:colOff>
      <xdr:row>11</xdr:row>
      <xdr:rowOff>40821</xdr:rowOff>
    </xdr:to>
    <xdr:sp macro="" textlink="">
      <xdr:nvSpPr>
        <xdr:cNvPr id="20" name="TextBox 19">
          <a:extLst>
            <a:ext uri="{FF2B5EF4-FFF2-40B4-BE49-F238E27FC236}">
              <a16:creationId xmlns:a16="http://schemas.microsoft.com/office/drawing/2014/main" id="{033EF061-3D70-EC6C-C452-EDAB31B50E55}"/>
            </a:ext>
          </a:extLst>
        </xdr:cNvPr>
        <xdr:cNvSpPr txBox="1"/>
      </xdr:nvSpPr>
      <xdr:spPr>
        <a:xfrm>
          <a:off x="1469571" y="1768929"/>
          <a:ext cx="1170215" cy="3673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i="1">
              <a:latin typeface="Bookman Old Style" panose="02050604050505020204" pitchFamily="18" charset="0"/>
            </a:rPr>
            <a:t>Filter</a:t>
          </a:r>
        </a:p>
      </xdr:txBody>
    </xdr:sp>
    <xdr:clientData/>
  </xdr:twoCellAnchor>
  <xdr:twoCellAnchor>
    <xdr:from>
      <xdr:col>8</xdr:col>
      <xdr:colOff>598714</xdr:colOff>
      <xdr:row>5</xdr:row>
      <xdr:rowOff>108857</xdr:rowOff>
    </xdr:from>
    <xdr:to>
      <xdr:col>12</xdr:col>
      <xdr:colOff>204107</xdr:colOff>
      <xdr:row>7</xdr:row>
      <xdr:rowOff>27214</xdr:rowOff>
    </xdr:to>
    <xdr:sp macro="" textlink="'pivit tables'!J5">
      <xdr:nvSpPr>
        <xdr:cNvPr id="21" name="TextBox 20">
          <a:extLst>
            <a:ext uri="{FF2B5EF4-FFF2-40B4-BE49-F238E27FC236}">
              <a16:creationId xmlns:a16="http://schemas.microsoft.com/office/drawing/2014/main" id="{AFF9F312-AA54-6B46-0DDF-C463E42266DD}"/>
            </a:ext>
          </a:extLst>
        </xdr:cNvPr>
        <xdr:cNvSpPr txBox="1"/>
      </xdr:nvSpPr>
      <xdr:spPr>
        <a:xfrm>
          <a:off x="5497285" y="1061357"/>
          <a:ext cx="2054679" cy="2993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E50C4C-B3AE-4AB9-A853-CCC38803EBB2}" type="TxLink">
            <a:rPr lang="en-US" sz="2400" b="1" i="1" u="none" strike="noStrike">
              <a:solidFill>
                <a:srgbClr val="000000"/>
              </a:solidFill>
              <a:latin typeface="Bookman Old Style" panose="02050604050505020204" pitchFamily="18" charset="0"/>
              <a:ea typeface="+mn-ea"/>
              <a:cs typeface="+mn-cs"/>
            </a:rPr>
            <a:pPr marL="0" indent="0" algn="ctr"/>
            <a:t>976</a:t>
          </a:fld>
          <a:endParaRPr lang="en-US" sz="2400" b="1" i="1">
            <a:solidFill>
              <a:schemeClr val="dk1"/>
            </a:solidFill>
            <a:latin typeface="Bookman Old Style" panose="02050604050505020204" pitchFamily="18" charset="0"/>
            <a:ea typeface="+mn-ea"/>
            <a:cs typeface="+mn-cs"/>
          </a:endParaRPr>
        </a:p>
      </xdr:txBody>
    </xdr:sp>
    <xdr:clientData/>
  </xdr:twoCellAnchor>
  <xdr:twoCellAnchor>
    <xdr:from>
      <xdr:col>14</xdr:col>
      <xdr:colOff>136070</xdr:colOff>
      <xdr:row>4</xdr:row>
      <xdr:rowOff>122465</xdr:rowOff>
    </xdr:from>
    <xdr:to>
      <xdr:col>18</xdr:col>
      <xdr:colOff>598713</xdr:colOff>
      <xdr:row>10</xdr:row>
      <xdr:rowOff>2721</xdr:rowOff>
    </xdr:to>
    <xdr:sp macro="" textlink="">
      <xdr:nvSpPr>
        <xdr:cNvPr id="25" name="Rectangle: Rounded Corners 24">
          <a:extLst>
            <a:ext uri="{FF2B5EF4-FFF2-40B4-BE49-F238E27FC236}">
              <a16:creationId xmlns:a16="http://schemas.microsoft.com/office/drawing/2014/main" id="{205D0A67-6C1F-4C19-81DD-BC27A87DFB42}"/>
            </a:ext>
          </a:extLst>
        </xdr:cNvPr>
        <xdr:cNvSpPr/>
      </xdr:nvSpPr>
      <xdr:spPr>
        <a:xfrm>
          <a:off x="8708570" y="884465"/>
          <a:ext cx="2911929" cy="1023256"/>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2000" b="1" i="0">
              <a:solidFill>
                <a:schemeClr val="dk1"/>
              </a:solidFill>
              <a:latin typeface="Bookman Old Style" panose="02050604050505020204" pitchFamily="18" charset="0"/>
              <a:ea typeface="+mn-ea"/>
              <a:cs typeface="+mn-cs"/>
            </a:rPr>
            <a:t>avg handling time </a:t>
          </a:r>
          <a:endParaRPr lang="LID4096" sz="2000" b="1" i="0">
            <a:solidFill>
              <a:schemeClr val="dk1"/>
            </a:solidFill>
            <a:latin typeface="Bookman Old Style" panose="02050604050505020204" pitchFamily="18" charset="0"/>
            <a:ea typeface="+mn-ea"/>
            <a:cs typeface="+mn-cs"/>
          </a:endParaRPr>
        </a:p>
      </xdr:txBody>
    </xdr:sp>
    <xdr:clientData/>
  </xdr:twoCellAnchor>
  <xdr:twoCellAnchor>
    <xdr:from>
      <xdr:col>14</xdr:col>
      <xdr:colOff>585107</xdr:colOff>
      <xdr:row>5</xdr:row>
      <xdr:rowOff>149679</xdr:rowOff>
    </xdr:from>
    <xdr:to>
      <xdr:col>18</xdr:col>
      <xdr:colOff>204107</xdr:colOff>
      <xdr:row>7</xdr:row>
      <xdr:rowOff>27214</xdr:rowOff>
    </xdr:to>
    <xdr:sp macro="" textlink="'pivit tables'!J25">
      <xdr:nvSpPr>
        <xdr:cNvPr id="26" name="TextBox 25">
          <a:extLst>
            <a:ext uri="{FF2B5EF4-FFF2-40B4-BE49-F238E27FC236}">
              <a16:creationId xmlns:a16="http://schemas.microsoft.com/office/drawing/2014/main" id="{F3B417E9-8475-2A6F-7E93-7664B3ED8387}"/>
            </a:ext>
          </a:extLst>
        </xdr:cNvPr>
        <xdr:cNvSpPr txBox="1"/>
      </xdr:nvSpPr>
      <xdr:spPr>
        <a:xfrm>
          <a:off x="9157607" y="1102179"/>
          <a:ext cx="2068286" cy="258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37915C-EDB2-47F5-B300-FFA21F8F0E18}" type="TxLink">
            <a:rPr lang="en-US" sz="2000" b="1" i="1" u="none" strike="noStrike">
              <a:solidFill>
                <a:srgbClr val="000000"/>
              </a:solidFill>
              <a:latin typeface="Bookman Old Style" panose="02050604050505020204" pitchFamily="18" charset="0"/>
              <a:ea typeface="+mn-ea"/>
              <a:cs typeface="+mn-cs"/>
            </a:rPr>
            <a:pPr marL="0" indent="0" algn="ctr"/>
            <a:t>7.75</a:t>
          </a:fld>
          <a:endParaRPr lang="en-US" sz="2000" b="1" i="1" u="none" strike="noStrike">
            <a:solidFill>
              <a:srgbClr val="000000"/>
            </a:solidFill>
            <a:latin typeface="Bookman Old Style" panose="02050604050505020204" pitchFamily="18" charset="0"/>
            <a:ea typeface="+mn-ea"/>
            <a:cs typeface="+mn-cs"/>
          </a:endParaRPr>
        </a:p>
      </xdr:txBody>
    </xdr:sp>
    <xdr:clientData/>
  </xdr:twoCellAnchor>
  <xdr:twoCellAnchor>
    <xdr:from>
      <xdr:col>20</xdr:col>
      <xdr:colOff>95250</xdr:colOff>
      <xdr:row>4</xdr:row>
      <xdr:rowOff>163286</xdr:rowOff>
    </xdr:from>
    <xdr:to>
      <xdr:col>24</xdr:col>
      <xdr:colOff>571501</xdr:colOff>
      <xdr:row>10</xdr:row>
      <xdr:rowOff>27216</xdr:rowOff>
    </xdr:to>
    <xdr:sp macro="" textlink="">
      <xdr:nvSpPr>
        <xdr:cNvPr id="29" name="Rectangle: Rounded Corners 28">
          <a:extLst>
            <a:ext uri="{FF2B5EF4-FFF2-40B4-BE49-F238E27FC236}">
              <a16:creationId xmlns:a16="http://schemas.microsoft.com/office/drawing/2014/main" id="{79C3124A-F9D5-4403-B488-15A5055C1DF5}"/>
            </a:ext>
          </a:extLst>
        </xdr:cNvPr>
        <xdr:cNvSpPr/>
      </xdr:nvSpPr>
      <xdr:spPr>
        <a:xfrm>
          <a:off x="12341679" y="925286"/>
          <a:ext cx="2925536" cy="1006930"/>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0">
              <a:solidFill>
                <a:schemeClr val="dk1"/>
              </a:solidFill>
              <a:latin typeface="Bookman Old Style" panose="02050604050505020204" pitchFamily="18" charset="0"/>
              <a:ea typeface="+mn-ea"/>
              <a:cs typeface="+mn-cs"/>
            </a:rPr>
            <a:t>Total</a:t>
          </a:r>
          <a:r>
            <a:rPr lang="en-US" sz="1800" b="1" i="0" baseline="0">
              <a:solidFill>
                <a:schemeClr val="dk1"/>
              </a:solidFill>
              <a:latin typeface="Bookman Old Style" panose="02050604050505020204" pitchFamily="18" charset="0"/>
              <a:ea typeface="+mn-ea"/>
              <a:cs typeface="+mn-cs"/>
            </a:rPr>
            <a:t> Num of Egents</a:t>
          </a:r>
          <a:endParaRPr lang="LID4096" sz="1800" b="1" i="0">
            <a:solidFill>
              <a:schemeClr val="dk1"/>
            </a:solidFill>
            <a:latin typeface="Bookman Old Style" panose="02050604050505020204" pitchFamily="18" charset="0"/>
            <a:ea typeface="+mn-ea"/>
            <a:cs typeface="+mn-cs"/>
          </a:endParaRPr>
        </a:p>
      </xdr:txBody>
    </xdr:sp>
    <xdr:clientData/>
  </xdr:twoCellAnchor>
  <xdr:twoCellAnchor>
    <xdr:from>
      <xdr:col>20</xdr:col>
      <xdr:colOff>462642</xdr:colOff>
      <xdr:row>5</xdr:row>
      <xdr:rowOff>149679</xdr:rowOff>
    </xdr:from>
    <xdr:to>
      <xdr:col>24</xdr:col>
      <xdr:colOff>149678</xdr:colOff>
      <xdr:row>7</xdr:row>
      <xdr:rowOff>122465</xdr:rowOff>
    </xdr:to>
    <xdr:sp macro="" textlink="'pivit tables'!J11">
      <xdr:nvSpPr>
        <xdr:cNvPr id="30" name="TextBox 29">
          <a:extLst>
            <a:ext uri="{FF2B5EF4-FFF2-40B4-BE49-F238E27FC236}">
              <a16:creationId xmlns:a16="http://schemas.microsoft.com/office/drawing/2014/main" id="{99F85190-573F-4E58-BD33-4A091A82C50A}"/>
            </a:ext>
          </a:extLst>
        </xdr:cNvPr>
        <xdr:cNvSpPr txBox="1"/>
      </xdr:nvSpPr>
      <xdr:spPr>
        <a:xfrm>
          <a:off x="12709071" y="1102179"/>
          <a:ext cx="2136321"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76465B6-0489-4986-8F02-B557FAA2B2F9}" type="TxLink">
            <a:rPr lang="en-US" sz="2400" b="1" i="1" u="none" strike="noStrike">
              <a:solidFill>
                <a:srgbClr val="000000"/>
              </a:solidFill>
              <a:latin typeface="Bookman Old Style" panose="02050604050505020204" pitchFamily="18" charset="0"/>
              <a:ea typeface="+mn-ea"/>
              <a:cs typeface="+mn-cs"/>
            </a:rPr>
            <a:pPr marL="0" indent="0" algn="ctr"/>
            <a:t>8</a:t>
          </a:fld>
          <a:endParaRPr lang="en-US" sz="2400" b="1" i="1" u="none" strike="noStrike">
            <a:solidFill>
              <a:srgbClr val="000000"/>
            </a:solidFill>
            <a:latin typeface="Bookman Old Style" panose="02050604050505020204" pitchFamily="18" charset="0"/>
            <a:ea typeface="+mn-ea"/>
            <a:cs typeface="+mn-cs"/>
          </a:endParaRPr>
        </a:p>
      </xdr:txBody>
    </xdr:sp>
    <xdr:clientData/>
  </xdr:twoCellAnchor>
  <xdr:twoCellAnchor>
    <xdr:from>
      <xdr:col>26</xdr:col>
      <xdr:colOff>40821</xdr:colOff>
      <xdr:row>5</xdr:row>
      <xdr:rowOff>40821</xdr:rowOff>
    </xdr:from>
    <xdr:to>
      <xdr:col>30</xdr:col>
      <xdr:colOff>408214</xdr:colOff>
      <xdr:row>10</xdr:row>
      <xdr:rowOff>40823</xdr:rowOff>
    </xdr:to>
    <xdr:sp macro="" textlink="">
      <xdr:nvSpPr>
        <xdr:cNvPr id="31" name="Rectangle: Rounded Corners 30">
          <a:extLst>
            <a:ext uri="{FF2B5EF4-FFF2-40B4-BE49-F238E27FC236}">
              <a16:creationId xmlns:a16="http://schemas.microsoft.com/office/drawing/2014/main" id="{94F8F47D-3267-4389-A97B-E894D09D225C}"/>
            </a:ext>
          </a:extLst>
        </xdr:cNvPr>
        <xdr:cNvSpPr/>
      </xdr:nvSpPr>
      <xdr:spPr>
        <a:xfrm>
          <a:off x="15961178" y="993321"/>
          <a:ext cx="2816679" cy="952502"/>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100" b="0" i="1">
              <a:solidFill>
                <a:schemeClr val="lt1"/>
              </a:solidFill>
              <a:effectLst/>
              <a:latin typeface="+mn-lt"/>
              <a:ea typeface="+mn-ea"/>
              <a:cs typeface="+mn-cs"/>
            </a:rPr>
            <a:t>AVG Satisfaction </a:t>
          </a:r>
          <a:endParaRPr lang="en-US" sz="24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Bookman Old Style" panose="02050604050505020204" pitchFamily="18" charset="0"/>
              <a:ea typeface="+mn-ea"/>
              <a:cs typeface="+mn-cs"/>
            </a:rPr>
            <a:t>Avg</a:t>
          </a:r>
          <a:r>
            <a:rPr lang="en-US" sz="2000" b="1" i="0" baseline="0">
              <a:solidFill>
                <a:schemeClr val="dk1"/>
              </a:solidFill>
              <a:effectLst/>
              <a:latin typeface="Bookman Old Style" panose="02050604050505020204" pitchFamily="18" charset="0"/>
              <a:ea typeface="+mn-ea"/>
              <a:cs typeface="+mn-cs"/>
            </a:rPr>
            <a:t> satisfaction</a:t>
          </a:r>
          <a:endParaRPr lang="en-US" sz="2000" i="0">
            <a:effectLst/>
          </a:endParaRPr>
        </a:p>
      </xdr:txBody>
    </xdr:sp>
    <xdr:clientData/>
  </xdr:twoCellAnchor>
  <xdr:twoCellAnchor>
    <xdr:from>
      <xdr:col>26</xdr:col>
      <xdr:colOff>476250</xdr:colOff>
      <xdr:row>6</xdr:row>
      <xdr:rowOff>68035</xdr:rowOff>
    </xdr:from>
    <xdr:to>
      <xdr:col>30</xdr:col>
      <xdr:colOff>0</xdr:colOff>
      <xdr:row>7</xdr:row>
      <xdr:rowOff>40821</xdr:rowOff>
    </xdr:to>
    <xdr:sp macro="" textlink="'pivit tables'!N5">
      <xdr:nvSpPr>
        <xdr:cNvPr id="32" name="TextBox 31">
          <a:extLst>
            <a:ext uri="{FF2B5EF4-FFF2-40B4-BE49-F238E27FC236}">
              <a16:creationId xmlns:a16="http://schemas.microsoft.com/office/drawing/2014/main" id="{633B1B28-A76C-DB64-2791-1D4C6BCDD754}"/>
            </a:ext>
          </a:extLst>
        </xdr:cNvPr>
        <xdr:cNvSpPr txBox="1"/>
      </xdr:nvSpPr>
      <xdr:spPr>
        <a:xfrm>
          <a:off x="16396607" y="1211035"/>
          <a:ext cx="1973036" cy="163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8A07301-DB47-496F-A2CE-5867B397C406}" type="TxLink">
            <a:rPr lang="en-US" sz="1800" b="1" i="1" u="none" strike="noStrike">
              <a:solidFill>
                <a:srgbClr val="000000"/>
              </a:solidFill>
              <a:latin typeface="Bookman Old Style" panose="02050604050505020204" pitchFamily="18" charset="0"/>
              <a:ea typeface="+mn-ea"/>
              <a:cs typeface="+mn-cs"/>
            </a:rPr>
            <a:pPr marL="0" indent="0" algn="ctr"/>
            <a:t>3.43</a:t>
          </a:fld>
          <a:endParaRPr lang="en-US" sz="2400" b="1" i="1" u="none" strike="noStrike">
            <a:solidFill>
              <a:srgbClr val="000000"/>
            </a:solidFill>
            <a:latin typeface="Bookman Old Style" panose="02050604050505020204" pitchFamily="18" charset="0"/>
            <a:ea typeface="+mn-ea"/>
            <a:cs typeface="+mn-cs"/>
          </a:endParaRPr>
        </a:p>
      </xdr:txBody>
    </xdr:sp>
    <xdr:clientData/>
  </xdr:twoCellAnchor>
  <xdr:twoCellAnchor editAs="oneCell">
    <xdr:from>
      <xdr:col>1</xdr:col>
      <xdr:colOff>244931</xdr:colOff>
      <xdr:row>11</xdr:row>
      <xdr:rowOff>176892</xdr:rowOff>
    </xdr:from>
    <xdr:to>
      <xdr:col>4</xdr:col>
      <xdr:colOff>236766</xdr:colOff>
      <xdr:row>25</xdr:row>
      <xdr:rowOff>176892</xdr:rowOff>
    </xdr:to>
    <mc:AlternateContent xmlns:mc="http://schemas.openxmlformats.org/markup-compatibility/2006" xmlns:a14="http://schemas.microsoft.com/office/drawing/2010/main">
      <mc:Choice Requires="a14">
        <xdr:graphicFrame macro="">
          <xdr:nvGraphicFramePr>
            <xdr:cNvPr id="33" name="Agent 1">
              <a:extLst>
                <a:ext uri="{FF2B5EF4-FFF2-40B4-BE49-F238E27FC236}">
                  <a16:creationId xmlns:a16="http://schemas.microsoft.com/office/drawing/2014/main" id="{547B9B7C-1D56-4277-881B-E288FDD3303B}"/>
                </a:ext>
              </a:extLst>
            </xdr:cNvPr>
            <xdr:cNvGraphicFramePr/>
          </xdr:nvGraphicFramePr>
          <xdr:xfrm>
            <a:off x="0" y="0"/>
            <a:ext cx="0" cy="0"/>
          </xdr:xfrm>
          <a:graphic>
            <a:graphicData uri="http://schemas.microsoft.com/office/drawing/2010/slicer">
              <sle:slicer xmlns:sle="http://schemas.microsoft.com/office/drawing/2010/slicer" name="Agent 1"/>
            </a:graphicData>
          </a:graphic>
        </xdr:graphicFrame>
      </mc:Choice>
      <mc:Fallback xmlns="">
        <xdr:sp macro="" textlink="">
          <xdr:nvSpPr>
            <xdr:cNvPr id="0" name=""/>
            <xdr:cNvSpPr>
              <a:spLocks noTextEdit="1"/>
            </xdr:cNvSpPr>
          </xdr:nvSpPr>
          <xdr:spPr>
            <a:xfrm>
              <a:off x="857252" y="2272392"/>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248476</xdr:colOff>
      <xdr:row>25</xdr:row>
      <xdr:rowOff>169305</xdr:rowOff>
    </xdr:from>
    <xdr:to>
      <xdr:col>4</xdr:col>
      <xdr:colOff>240311</xdr:colOff>
      <xdr:row>35</xdr:row>
      <xdr:rowOff>19792</xdr:rowOff>
    </xdr:to>
    <mc:AlternateContent xmlns:mc="http://schemas.openxmlformats.org/markup-compatibility/2006" xmlns:a14="http://schemas.microsoft.com/office/drawing/2010/main">
      <mc:Choice Requires="a14">
        <xdr:graphicFrame macro="">
          <xdr:nvGraphicFramePr>
            <xdr:cNvPr id="34" name="Topic 1">
              <a:extLst>
                <a:ext uri="{FF2B5EF4-FFF2-40B4-BE49-F238E27FC236}">
                  <a16:creationId xmlns:a16="http://schemas.microsoft.com/office/drawing/2014/main" id="{2E4221FA-697C-48EC-9C83-385D81FDCC78}"/>
                </a:ext>
              </a:extLst>
            </xdr:cNvPr>
            <xdr:cNvGraphicFramePr/>
          </xdr:nvGraphicFramePr>
          <xdr:xfrm>
            <a:off x="0" y="0"/>
            <a:ext cx="0" cy="0"/>
          </xdr:xfrm>
          <a:graphic>
            <a:graphicData uri="http://schemas.microsoft.com/office/drawing/2010/slicer">
              <sle:slicer xmlns:sle="http://schemas.microsoft.com/office/drawing/2010/slicer" name="Topic 1"/>
            </a:graphicData>
          </a:graphic>
        </xdr:graphicFrame>
      </mc:Choice>
      <mc:Fallback xmlns="">
        <xdr:sp macro="" textlink="">
          <xdr:nvSpPr>
            <xdr:cNvPr id="0" name=""/>
            <xdr:cNvSpPr>
              <a:spLocks noTextEdit="1"/>
            </xdr:cNvSpPr>
          </xdr:nvSpPr>
          <xdr:spPr>
            <a:xfrm>
              <a:off x="860797" y="4931805"/>
              <a:ext cx="1828800" cy="17554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299357</xdr:colOff>
      <xdr:row>25</xdr:row>
      <xdr:rowOff>95250</xdr:rowOff>
    </xdr:from>
    <xdr:to>
      <xdr:col>4</xdr:col>
      <xdr:colOff>261256</xdr:colOff>
      <xdr:row>25</xdr:row>
      <xdr:rowOff>106136</xdr:rowOff>
    </xdr:to>
    <xdr:cxnSp macro="">
      <xdr:nvCxnSpPr>
        <xdr:cNvPr id="35" name="Straight Connector 34">
          <a:extLst>
            <a:ext uri="{FF2B5EF4-FFF2-40B4-BE49-F238E27FC236}">
              <a16:creationId xmlns:a16="http://schemas.microsoft.com/office/drawing/2014/main" id="{D46E9E3D-1B84-406C-B9D7-FDB3A0A6BDB6}"/>
            </a:ext>
          </a:extLst>
        </xdr:cNvPr>
        <xdr:cNvCxnSpPr/>
      </xdr:nvCxnSpPr>
      <xdr:spPr>
        <a:xfrm flipV="1">
          <a:off x="911678" y="4857750"/>
          <a:ext cx="1798864" cy="10886"/>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108857</xdr:colOff>
      <xdr:row>14</xdr:row>
      <xdr:rowOff>95250</xdr:rowOff>
    </xdr:from>
    <xdr:to>
      <xdr:col>13</xdr:col>
      <xdr:colOff>462643</xdr:colOff>
      <xdr:row>35</xdr:row>
      <xdr:rowOff>149681</xdr:rowOff>
    </xdr:to>
    <xdr:sp macro="" textlink="">
      <xdr:nvSpPr>
        <xdr:cNvPr id="37" name="Rectangle: Rounded Corners 36">
          <a:extLst>
            <a:ext uri="{FF2B5EF4-FFF2-40B4-BE49-F238E27FC236}">
              <a16:creationId xmlns:a16="http://schemas.microsoft.com/office/drawing/2014/main" id="{4718014A-692F-42A8-B7C5-228FE4821060}"/>
            </a:ext>
          </a:extLst>
        </xdr:cNvPr>
        <xdr:cNvSpPr/>
      </xdr:nvSpPr>
      <xdr:spPr>
        <a:xfrm>
          <a:off x="3782786" y="2762250"/>
          <a:ext cx="4640036" cy="4054931"/>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1">
              <a:solidFill>
                <a:schemeClr val="dk1"/>
              </a:solidFill>
              <a:latin typeface="Bookman Old Style" panose="02050604050505020204" pitchFamily="18" charset="0"/>
              <a:ea typeface="+mn-ea"/>
              <a:cs typeface="+mn-cs"/>
            </a:rPr>
            <a:t>Total</a:t>
          </a:r>
          <a:r>
            <a:rPr lang="en-US" sz="1800" baseline="0">
              <a:solidFill>
                <a:schemeClr val="tx1"/>
              </a:solidFill>
            </a:rPr>
            <a:t> </a:t>
          </a:r>
          <a:r>
            <a:rPr lang="en-US" sz="2000" b="1" i="1" baseline="0">
              <a:solidFill>
                <a:schemeClr val="dk1"/>
              </a:solidFill>
              <a:latin typeface="Bookman Old Style" panose="02050604050505020204" pitchFamily="18" charset="0"/>
              <a:ea typeface="+mn-ea"/>
              <a:cs typeface="+mn-cs"/>
            </a:rPr>
            <a:t>C</a:t>
          </a:r>
          <a:r>
            <a:rPr lang="en-US" sz="2000" b="1" i="1">
              <a:solidFill>
                <a:schemeClr val="dk1"/>
              </a:solidFill>
              <a:latin typeface="Bookman Old Style" panose="02050604050505020204" pitchFamily="18" charset="0"/>
              <a:ea typeface="+mn-ea"/>
              <a:cs typeface="+mn-cs"/>
            </a:rPr>
            <a:t>alls For Each Agent</a:t>
          </a:r>
          <a:endParaRPr lang="LID4096" sz="2000" b="1" i="1">
            <a:solidFill>
              <a:schemeClr val="dk1"/>
            </a:solidFill>
            <a:latin typeface="Bookman Old Style" panose="02050604050505020204" pitchFamily="18" charset="0"/>
            <a:ea typeface="+mn-ea"/>
            <a:cs typeface="+mn-cs"/>
          </a:endParaRPr>
        </a:p>
      </xdr:txBody>
    </xdr:sp>
    <xdr:clientData/>
  </xdr:twoCellAnchor>
  <xdr:twoCellAnchor>
    <xdr:from>
      <xdr:col>6</xdr:col>
      <xdr:colOff>367393</xdr:colOff>
      <xdr:row>16</xdr:row>
      <xdr:rowOff>54428</xdr:rowOff>
    </xdr:from>
    <xdr:to>
      <xdr:col>13</xdr:col>
      <xdr:colOff>149678</xdr:colOff>
      <xdr:row>32</xdr:row>
      <xdr:rowOff>144238</xdr:rowOff>
    </xdr:to>
    <xdr:graphicFrame macro="">
      <xdr:nvGraphicFramePr>
        <xdr:cNvPr id="38" name="Chart 37">
          <a:extLst>
            <a:ext uri="{FF2B5EF4-FFF2-40B4-BE49-F238E27FC236}">
              <a16:creationId xmlns:a16="http://schemas.microsoft.com/office/drawing/2014/main" id="{2987892C-EFA3-4458-AC65-418CD3C29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435429</xdr:colOff>
      <xdr:row>14</xdr:row>
      <xdr:rowOff>136071</xdr:rowOff>
    </xdr:from>
    <xdr:to>
      <xdr:col>22</xdr:col>
      <xdr:colOff>176894</xdr:colOff>
      <xdr:row>36</xdr:row>
      <xdr:rowOff>2</xdr:rowOff>
    </xdr:to>
    <xdr:sp macro="" textlink="">
      <xdr:nvSpPr>
        <xdr:cNvPr id="39" name="Rectangle: Rounded Corners 38">
          <a:extLst>
            <a:ext uri="{FF2B5EF4-FFF2-40B4-BE49-F238E27FC236}">
              <a16:creationId xmlns:a16="http://schemas.microsoft.com/office/drawing/2014/main" id="{471FD615-B3CD-43A7-B760-7B82E5743A02}"/>
            </a:ext>
          </a:extLst>
        </xdr:cNvPr>
        <xdr:cNvSpPr/>
      </xdr:nvSpPr>
      <xdr:spPr>
        <a:xfrm>
          <a:off x="9007929" y="2803071"/>
          <a:ext cx="4640036" cy="4054931"/>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1">
              <a:solidFill>
                <a:schemeClr val="dk1"/>
              </a:solidFill>
              <a:latin typeface="Bookman Old Style" panose="02050604050505020204" pitchFamily="18" charset="0"/>
              <a:ea typeface="+mn-ea"/>
              <a:cs typeface="+mn-cs"/>
            </a:rPr>
            <a:t>AHT</a:t>
          </a:r>
          <a:r>
            <a:rPr lang="en-US" sz="2000" b="1" i="1" baseline="0">
              <a:solidFill>
                <a:schemeClr val="dk1"/>
              </a:solidFill>
              <a:latin typeface="Bookman Old Style" panose="02050604050505020204" pitchFamily="18" charset="0"/>
              <a:ea typeface="+mn-ea"/>
              <a:cs typeface="+mn-cs"/>
            </a:rPr>
            <a:t> For Each Agent</a:t>
          </a:r>
          <a:endParaRPr lang="LID4096" sz="2000" b="1" i="1">
            <a:solidFill>
              <a:schemeClr val="dk1"/>
            </a:solidFill>
            <a:latin typeface="Bookman Old Style" panose="02050604050505020204" pitchFamily="18" charset="0"/>
            <a:ea typeface="+mn-ea"/>
            <a:cs typeface="+mn-cs"/>
          </a:endParaRPr>
        </a:p>
      </xdr:txBody>
    </xdr:sp>
    <xdr:clientData/>
  </xdr:twoCellAnchor>
  <xdr:twoCellAnchor>
    <xdr:from>
      <xdr:col>15</xdr:col>
      <xdr:colOff>95250</xdr:colOff>
      <xdr:row>16</xdr:row>
      <xdr:rowOff>68036</xdr:rowOff>
    </xdr:from>
    <xdr:to>
      <xdr:col>21</xdr:col>
      <xdr:colOff>462643</xdr:colOff>
      <xdr:row>33</xdr:row>
      <xdr:rowOff>27214</xdr:rowOff>
    </xdr:to>
    <xdr:graphicFrame macro="">
      <xdr:nvGraphicFramePr>
        <xdr:cNvPr id="41" name="Chart 40">
          <a:extLst>
            <a:ext uri="{FF2B5EF4-FFF2-40B4-BE49-F238E27FC236}">
              <a16:creationId xmlns:a16="http://schemas.microsoft.com/office/drawing/2014/main" id="{56E5E8EC-3D1E-44B2-98E4-B179F1E93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54430</xdr:colOff>
      <xdr:row>13</xdr:row>
      <xdr:rowOff>68036</xdr:rowOff>
    </xdr:from>
    <xdr:to>
      <xdr:col>28</xdr:col>
      <xdr:colOff>326573</xdr:colOff>
      <xdr:row>24</xdr:row>
      <xdr:rowOff>95250</xdr:rowOff>
    </xdr:to>
    <xdr:sp macro="" textlink="">
      <xdr:nvSpPr>
        <xdr:cNvPr id="43" name="Rectangle: Rounded Corners 42">
          <a:extLst>
            <a:ext uri="{FF2B5EF4-FFF2-40B4-BE49-F238E27FC236}">
              <a16:creationId xmlns:a16="http://schemas.microsoft.com/office/drawing/2014/main" id="{EB60CE67-492B-4C25-8005-DD8116891257}"/>
            </a:ext>
          </a:extLst>
        </xdr:cNvPr>
        <xdr:cNvSpPr/>
      </xdr:nvSpPr>
      <xdr:spPr>
        <a:xfrm>
          <a:off x="14137823" y="2544536"/>
          <a:ext cx="3333750" cy="2122714"/>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1">
              <a:solidFill>
                <a:schemeClr val="dk1"/>
              </a:solidFill>
              <a:latin typeface="Bookman Old Style" panose="02050604050505020204" pitchFamily="18" charset="0"/>
              <a:ea typeface="+mn-ea"/>
              <a:cs typeface="+mn-cs"/>
            </a:rPr>
            <a:t>Answerd</a:t>
          </a:r>
          <a:r>
            <a:rPr lang="en-US" sz="2000" b="1" i="1" baseline="0">
              <a:solidFill>
                <a:schemeClr val="dk1"/>
              </a:solidFill>
              <a:latin typeface="Bookman Old Style" panose="02050604050505020204" pitchFamily="18" charset="0"/>
              <a:ea typeface="+mn-ea"/>
              <a:cs typeface="+mn-cs"/>
            </a:rPr>
            <a:t> or Not</a:t>
          </a:r>
          <a:endParaRPr lang="LID4096" sz="2000" b="1" i="1">
            <a:solidFill>
              <a:schemeClr val="dk1"/>
            </a:solidFill>
            <a:latin typeface="Bookman Old Style" panose="02050604050505020204" pitchFamily="18" charset="0"/>
            <a:ea typeface="+mn-ea"/>
            <a:cs typeface="+mn-cs"/>
          </a:endParaRPr>
        </a:p>
      </xdr:txBody>
    </xdr:sp>
    <xdr:clientData/>
  </xdr:twoCellAnchor>
  <xdr:twoCellAnchor>
    <xdr:from>
      <xdr:col>24</xdr:col>
      <xdr:colOff>217716</xdr:colOff>
      <xdr:row>14</xdr:row>
      <xdr:rowOff>54428</xdr:rowOff>
    </xdr:from>
    <xdr:to>
      <xdr:col>27</xdr:col>
      <xdr:colOff>285751</xdr:colOff>
      <xdr:row>22</xdr:row>
      <xdr:rowOff>9250</xdr:rowOff>
    </xdr:to>
    <xdr:graphicFrame macro="">
      <xdr:nvGraphicFramePr>
        <xdr:cNvPr id="44" name="Chart 43">
          <a:extLst>
            <a:ext uri="{FF2B5EF4-FFF2-40B4-BE49-F238E27FC236}">
              <a16:creationId xmlns:a16="http://schemas.microsoft.com/office/drawing/2014/main" id="{BD95CB0C-2EED-4E8D-ACA2-903E1F410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571500</xdr:colOff>
      <xdr:row>25</xdr:row>
      <xdr:rowOff>27214</xdr:rowOff>
    </xdr:from>
    <xdr:to>
      <xdr:col>28</xdr:col>
      <xdr:colOff>353786</xdr:colOff>
      <xdr:row>37</xdr:row>
      <xdr:rowOff>29935</xdr:rowOff>
    </xdr:to>
    <xdr:sp macro="" textlink="">
      <xdr:nvSpPr>
        <xdr:cNvPr id="46" name="Rectangle: Rounded Corners 45">
          <a:extLst>
            <a:ext uri="{FF2B5EF4-FFF2-40B4-BE49-F238E27FC236}">
              <a16:creationId xmlns:a16="http://schemas.microsoft.com/office/drawing/2014/main" id="{DC995E8C-C6A2-4DB4-BBAB-53990AB773D6}"/>
            </a:ext>
          </a:extLst>
        </xdr:cNvPr>
        <xdr:cNvSpPr/>
      </xdr:nvSpPr>
      <xdr:spPr>
        <a:xfrm>
          <a:off x="14042571" y="4789714"/>
          <a:ext cx="3456215" cy="2288721"/>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1">
              <a:solidFill>
                <a:schemeClr val="dk1"/>
              </a:solidFill>
              <a:latin typeface="Bookman Old Style" panose="02050604050505020204" pitchFamily="18" charset="0"/>
              <a:ea typeface="+mn-ea"/>
              <a:cs typeface="+mn-cs"/>
            </a:rPr>
            <a:t>Resolved</a:t>
          </a:r>
          <a:r>
            <a:rPr lang="en-US" sz="2000" b="1" i="1" baseline="0">
              <a:solidFill>
                <a:schemeClr val="dk1"/>
              </a:solidFill>
              <a:latin typeface="Bookman Old Style" panose="02050604050505020204" pitchFamily="18" charset="0"/>
              <a:ea typeface="+mn-ea"/>
              <a:cs typeface="+mn-cs"/>
            </a:rPr>
            <a:t> VS Not</a:t>
          </a:r>
          <a:endParaRPr lang="LID4096" sz="2000" b="1" i="1">
            <a:solidFill>
              <a:schemeClr val="dk1"/>
            </a:solidFill>
            <a:latin typeface="Bookman Old Style" panose="02050604050505020204" pitchFamily="18" charset="0"/>
            <a:ea typeface="+mn-ea"/>
            <a:cs typeface="+mn-cs"/>
          </a:endParaRPr>
        </a:p>
      </xdr:txBody>
    </xdr:sp>
    <xdr:clientData/>
  </xdr:twoCellAnchor>
  <xdr:twoCellAnchor>
    <xdr:from>
      <xdr:col>23</xdr:col>
      <xdr:colOff>68037</xdr:colOff>
      <xdr:row>26</xdr:row>
      <xdr:rowOff>27215</xdr:rowOff>
    </xdr:from>
    <xdr:to>
      <xdr:col>28</xdr:col>
      <xdr:colOff>176894</xdr:colOff>
      <xdr:row>34</xdr:row>
      <xdr:rowOff>131473</xdr:rowOff>
    </xdr:to>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2B9C0779-AF0D-481C-8D2E-8D6709913F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088837" y="4980215"/>
              <a:ext cx="3156857" cy="16282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489856</xdr:colOff>
      <xdr:row>13</xdr:row>
      <xdr:rowOff>27214</xdr:rowOff>
    </xdr:from>
    <xdr:to>
      <xdr:col>34</xdr:col>
      <xdr:colOff>13607</xdr:colOff>
      <xdr:row>36</xdr:row>
      <xdr:rowOff>136073</xdr:rowOff>
    </xdr:to>
    <xdr:sp macro="" textlink="">
      <xdr:nvSpPr>
        <xdr:cNvPr id="50" name="Rectangle: Rounded Corners 49">
          <a:extLst>
            <a:ext uri="{FF2B5EF4-FFF2-40B4-BE49-F238E27FC236}">
              <a16:creationId xmlns:a16="http://schemas.microsoft.com/office/drawing/2014/main" id="{ADE22796-9E36-4281-9E8C-B8A26C660F97}"/>
            </a:ext>
          </a:extLst>
        </xdr:cNvPr>
        <xdr:cNvSpPr/>
      </xdr:nvSpPr>
      <xdr:spPr>
        <a:xfrm>
          <a:off x="17634856" y="2503714"/>
          <a:ext cx="3197680" cy="4490359"/>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1">
              <a:solidFill>
                <a:schemeClr val="dk1"/>
              </a:solidFill>
              <a:latin typeface="Bookman Old Style" panose="02050604050505020204" pitchFamily="18" charset="0"/>
              <a:ea typeface="+mn-ea"/>
              <a:cs typeface="+mn-cs"/>
            </a:rPr>
            <a:t>AHT</a:t>
          </a:r>
          <a:r>
            <a:rPr lang="en-US" sz="2000" b="1" i="1" baseline="0">
              <a:solidFill>
                <a:schemeClr val="dk1"/>
              </a:solidFill>
              <a:latin typeface="Bookman Old Style" panose="02050604050505020204" pitchFamily="18" charset="0"/>
              <a:ea typeface="+mn-ea"/>
              <a:cs typeface="+mn-cs"/>
            </a:rPr>
            <a:t> For Each Agent</a:t>
          </a:r>
          <a:endParaRPr lang="LID4096" sz="2000" b="1" i="1">
            <a:solidFill>
              <a:schemeClr val="dk1"/>
            </a:solidFill>
            <a:latin typeface="Bookman Old Style" panose="02050604050505020204" pitchFamily="18" charset="0"/>
            <a:ea typeface="+mn-ea"/>
            <a:cs typeface="+mn-cs"/>
          </a:endParaRPr>
        </a:p>
      </xdr:txBody>
    </xdr:sp>
    <xdr:clientData/>
  </xdr:twoCellAnchor>
  <xdr:twoCellAnchor>
    <xdr:from>
      <xdr:col>29</xdr:col>
      <xdr:colOff>40821</xdr:colOff>
      <xdr:row>16</xdr:row>
      <xdr:rowOff>40821</xdr:rowOff>
    </xdr:from>
    <xdr:to>
      <xdr:col>33</xdr:col>
      <xdr:colOff>353786</xdr:colOff>
      <xdr:row>31</xdr:row>
      <xdr:rowOff>0</xdr:rowOff>
    </xdr:to>
    <xdr:graphicFrame macro="">
      <xdr:nvGraphicFramePr>
        <xdr:cNvPr id="51" name="Chart 50">
          <a:extLst>
            <a:ext uri="{FF2B5EF4-FFF2-40B4-BE49-F238E27FC236}">
              <a16:creationId xmlns:a16="http://schemas.microsoft.com/office/drawing/2014/main" id="{56225F81-A72F-48EF-A55D-721CDE7D3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13608</xdr:colOff>
      <xdr:row>7</xdr:row>
      <xdr:rowOff>136072</xdr:rowOff>
    </xdr:from>
    <xdr:to>
      <xdr:col>4</xdr:col>
      <xdr:colOff>530678</xdr:colOff>
      <xdr:row>35</xdr:row>
      <xdr:rowOff>149680</xdr:rowOff>
    </xdr:to>
    <xdr:sp macro="" textlink="">
      <xdr:nvSpPr>
        <xdr:cNvPr id="3" name="Rectangle: Rounded Corners 2">
          <a:extLst>
            <a:ext uri="{FF2B5EF4-FFF2-40B4-BE49-F238E27FC236}">
              <a16:creationId xmlns:a16="http://schemas.microsoft.com/office/drawing/2014/main" id="{5BED5F64-86B4-44E2-A0AC-4F760F1DD790}"/>
            </a:ext>
          </a:extLst>
        </xdr:cNvPr>
        <xdr:cNvSpPr/>
      </xdr:nvSpPr>
      <xdr:spPr>
        <a:xfrm>
          <a:off x="623208" y="1469572"/>
          <a:ext cx="2345870" cy="5347608"/>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8</xdr:col>
      <xdr:colOff>163286</xdr:colOff>
      <xdr:row>4</xdr:row>
      <xdr:rowOff>108857</xdr:rowOff>
    </xdr:from>
    <xdr:to>
      <xdr:col>13</xdr:col>
      <xdr:colOff>40821</xdr:colOff>
      <xdr:row>9</xdr:row>
      <xdr:rowOff>163286</xdr:rowOff>
    </xdr:to>
    <xdr:sp macro="" textlink="">
      <xdr:nvSpPr>
        <xdr:cNvPr id="4" name="Rectangle: Rounded Corners 3">
          <a:extLst>
            <a:ext uri="{FF2B5EF4-FFF2-40B4-BE49-F238E27FC236}">
              <a16:creationId xmlns:a16="http://schemas.microsoft.com/office/drawing/2014/main" id="{ADCE2940-B31A-4B4A-ADC8-BEDD702F15E5}"/>
            </a:ext>
          </a:extLst>
        </xdr:cNvPr>
        <xdr:cNvSpPr/>
      </xdr:nvSpPr>
      <xdr:spPr>
        <a:xfrm>
          <a:off x="5040086" y="870857"/>
          <a:ext cx="2925535" cy="1006929"/>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0">
              <a:solidFill>
                <a:schemeClr val="dk1"/>
              </a:solidFill>
              <a:latin typeface="Bookman Old Style" panose="02050604050505020204" pitchFamily="18" charset="0"/>
              <a:ea typeface="+mn-ea"/>
              <a:cs typeface="+mn-cs"/>
            </a:rPr>
            <a:t>Total</a:t>
          </a:r>
          <a:r>
            <a:rPr lang="en-US" sz="1800" i="0" baseline="0">
              <a:solidFill>
                <a:schemeClr val="tx1"/>
              </a:solidFill>
            </a:rPr>
            <a:t> </a:t>
          </a:r>
          <a:r>
            <a:rPr lang="en-US" sz="2000" b="1" i="0">
              <a:solidFill>
                <a:schemeClr val="dk1"/>
              </a:solidFill>
              <a:latin typeface="Bookman Old Style" panose="02050604050505020204" pitchFamily="18" charset="0"/>
              <a:ea typeface="+mn-ea"/>
              <a:cs typeface="+mn-cs"/>
            </a:rPr>
            <a:t>calls</a:t>
          </a:r>
          <a:endParaRPr lang="LID4096" sz="2000" b="1" i="0">
            <a:solidFill>
              <a:schemeClr val="dk1"/>
            </a:solidFill>
            <a:latin typeface="Bookman Old Style" panose="02050604050505020204" pitchFamily="18" charset="0"/>
            <a:ea typeface="+mn-ea"/>
            <a:cs typeface="+mn-cs"/>
          </a:endParaRPr>
        </a:p>
      </xdr:txBody>
    </xdr:sp>
    <xdr:clientData/>
  </xdr:twoCellAnchor>
  <xdr:twoCellAnchor editAs="oneCell">
    <xdr:from>
      <xdr:col>4</xdr:col>
      <xdr:colOff>571499</xdr:colOff>
      <xdr:row>3</xdr:row>
      <xdr:rowOff>54429</xdr:rowOff>
    </xdr:from>
    <xdr:to>
      <xdr:col>7</xdr:col>
      <xdr:colOff>511628</xdr:colOff>
      <xdr:row>9</xdr:row>
      <xdr:rowOff>179615</xdr:rowOff>
    </xdr:to>
    <xdr:pic>
      <xdr:nvPicPr>
        <xdr:cNvPr id="5" name="Picture 4">
          <a:extLst>
            <a:ext uri="{FF2B5EF4-FFF2-40B4-BE49-F238E27FC236}">
              <a16:creationId xmlns:a16="http://schemas.microsoft.com/office/drawing/2014/main" id="{3F074E57-372F-493D-9CF8-65CAF3A500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09899" y="625929"/>
          <a:ext cx="1768929" cy="1268186"/>
        </a:xfrm>
        <a:prstGeom prst="rect">
          <a:avLst/>
        </a:prstGeom>
        <a:ln>
          <a:noFill/>
        </a:ln>
        <a:effectLst>
          <a:softEdge rad="112500"/>
        </a:effectLst>
      </xdr:spPr>
    </xdr:pic>
    <xdr:clientData/>
  </xdr:twoCellAnchor>
  <xdr:twoCellAnchor editAs="oneCell">
    <xdr:from>
      <xdr:col>31</xdr:col>
      <xdr:colOff>108858</xdr:colOff>
      <xdr:row>4</xdr:row>
      <xdr:rowOff>163286</xdr:rowOff>
    </xdr:from>
    <xdr:to>
      <xdr:col>32</xdr:col>
      <xdr:colOff>212271</xdr:colOff>
      <xdr:row>7</xdr:row>
      <xdr:rowOff>108857</xdr:rowOff>
    </xdr:to>
    <xdr:pic>
      <xdr:nvPicPr>
        <xdr:cNvPr id="6" name="Picture 5">
          <a:hlinkClick xmlns:r="http://schemas.openxmlformats.org/officeDocument/2006/relationships" r:id="rId2"/>
          <a:extLst>
            <a:ext uri="{FF2B5EF4-FFF2-40B4-BE49-F238E27FC236}">
              <a16:creationId xmlns:a16="http://schemas.microsoft.com/office/drawing/2014/main" id="{F24E4CF7-7CA5-42A3-98F4-1BFE480DE7D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006458" y="925286"/>
          <a:ext cx="713013" cy="517071"/>
        </a:xfrm>
        <a:prstGeom prst="rect">
          <a:avLst/>
        </a:prstGeom>
      </xdr:spPr>
    </xdr:pic>
    <xdr:clientData/>
  </xdr:twoCellAnchor>
  <xdr:twoCellAnchor editAs="oneCell">
    <xdr:from>
      <xdr:col>31</xdr:col>
      <xdr:colOff>519793</xdr:colOff>
      <xdr:row>4</xdr:row>
      <xdr:rowOff>166007</xdr:rowOff>
    </xdr:from>
    <xdr:to>
      <xdr:col>33</xdr:col>
      <xdr:colOff>10885</xdr:colOff>
      <xdr:row>7</xdr:row>
      <xdr:rowOff>111578</xdr:rowOff>
    </xdr:to>
    <xdr:pic>
      <xdr:nvPicPr>
        <xdr:cNvPr id="7" name="Picture 6">
          <a:hlinkClick xmlns:r="http://schemas.openxmlformats.org/officeDocument/2006/relationships" r:id="rId2"/>
          <a:extLst>
            <a:ext uri="{FF2B5EF4-FFF2-40B4-BE49-F238E27FC236}">
              <a16:creationId xmlns:a16="http://schemas.microsoft.com/office/drawing/2014/main" id="{593C472A-55E4-48C8-B6C0-874D9F18FF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417393" y="928007"/>
          <a:ext cx="710292" cy="517071"/>
        </a:xfrm>
        <a:prstGeom prst="rect">
          <a:avLst/>
        </a:prstGeom>
      </xdr:spPr>
    </xdr:pic>
    <xdr:clientData/>
  </xdr:twoCellAnchor>
  <xdr:twoCellAnchor editAs="oneCell">
    <xdr:from>
      <xdr:col>1</xdr:col>
      <xdr:colOff>108857</xdr:colOff>
      <xdr:row>3</xdr:row>
      <xdr:rowOff>13608</xdr:rowOff>
    </xdr:from>
    <xdr:to>
      <xdr:col>2</xdr:col>
      <xdr:colOff>212270</xdr:colOff>
      <xdr:row>5</xdr:row>
      <xdr:rowOff>149679</xdr:rowOff>
    </xdr:to>
    <xdr:pic>
      <xdr:nvPicPr>
        <xdr:cNvPr id="8" name="Picture 7">
          <a:hlinkClick xmlns:r="http://schemas.openxmlformats.org/officeDocument/2006/relationships" r:id="rId4"/>
          <a:extLst>
            <a:ext uri="{FF2B5EF4-FFF2-40B4-BE49-F238E27FC236}">
              <a16:creationId xmlns:a16="http://schemas.microsoft.com/office/drawing/2014/main" id="{E42DD53F-97A6-4BD4-BED3-7CBAEE54B7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718457" y="585108"/>
          <a:ext cx="713013" cy="517071"/>
        </a:xfrm>
        <a:prstGeom prst="rect">
          <a:avLst/>
        </a:prstGeom>
      </xdr:spPr>
    </xdr:pic>
    <xdr:clientData/>
  </xdr:twoCellAnchor>
  <xdr:twoCellAnchor editAs="oneCell">
    <xdr:from>
      <xdr:col>1</xdr:col>
      <xdr:colOff>476251</xdr:colOff>
      <xdr:row>2</xdr:row>
      <xdr:rowOff>176894</xdr:rowOff>
    </xdr:from>
    <xdr:to>
      <xdr:col>2</xdr:col>
      <xdr:colOff>579664</xdr:colOff>
      <xdr:row>5</xdr:row>
      <xdr:rowOff>122465</xdr:rowOff>
    </xdr:to>
    <xdr:pic>
      <xdr:nvPicPr>
        <xdr:cNvPr id="9" name="Picture 8">
          <a:hlinkClick xmlns:r="http://schemas.openxmlformats.org/officeDocument/2006/relationships" r:id="rId5"/>
          <a:extLst>
            <a:ext uri="{FF2B5EF4-FFF2-40B4-BE49-F238E27FC236}">
              <a16:creationId xmlns:a16="http://schemas.microsoft.com/office/drawing/2014/main" id="{4B75355D-4604-47D9-8124-54A1D7A298B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1085851" y="557894"/>
          <a:ext cx="713013" cy="517071"/>
        </a:xfrm>
        <a:prstGeom prst="rect">
          <a:avLst/>
        </a:prstGeom>
      </xdr:spPr>
    </xdr:pic>
    <xdr:clientData/>
  </xdr:twoCellAnchor>
  <xdr:twoCellAnchor editAs="oneCell">
    <xdr:from>
      <xdr:col>1</xdr:col>
      <xdr:colOff>312965</xdr:colOff>
      <xdr:row>8</xdr:row>
      <xdr:rowOff>176893</xdr:rowOff>
    </xdr:from>
    <xdr:to>
      <xdr:col>2</xdr:col>
      <xdr:colOff>155121</xdr:colOff>
      <xdr:row>11</xdr:row>
      <xdr:rowOff>100693</xdr:rowOff>
    </xdr:to>
    <xdr:pic macro="[0]!remove_filters">
      <xdr:nvPicPr>
        <xdr:cNvPr id="10" name="Picture 9">
          <a:extLst>
            <a:ext uri="{FF2B5EF4-FFF2-40B4-BE49-F238E27FC236}">
              <a16:creationId xmlns:a16="http://schemas.microsoft.com/office/drawing/2014/main" id="{881B04CE-CEB2-4186-A23D-EE8C2C348DF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22565" y="1700893"/>
          <a:ext cx="451756" cy="495300"/>
        </a:xfrm>
        <a:prstGeom prst="rect">
          <a:avLst/>
        </a:prstGeom>
      </xdr:spPr>
    </xdr:pic>
    <xdr:clientData/>
  </xdr:twoCellAnchor>
  <xdr:twoCellAnchor>
    <xdr:from>
      <xdr:col>2</xdr:col>
      <xdr:colOff>244928</xdr:colOff>
      <xdr:row>9</xdr:row>
      <xdr:rowOff>54429</xdr:rowOff>
    </xdr:from>
    <xdr:to>
      <xdr:col>4</xdr:col>
      <xdr:colOff>190500</xdr:colOff>
      <xdr:row>11</xdr:row>
      <xdr:rowOff>40821</xdr:rowOff>
    </xdr:to>
    <xdr:sp macro="" textlink="">
      <xdr:nvSpPr>
        <xdr:cNvPr id="11" name="TextBox 10">
          <a:extLst>
            <a:ext uri="{FF2B5EF4-FFF2-40B4-BE49-F238E27FC236}">
              <a16:creationId xmlns:a16="http://schemas.microsoft.com/office/drawing/2014/main" id="{4464FFF5-9A28-4371-822C-7D7F72CB62CB}"/>
            </a:ext>
          </a:extLst>
        </xdr:cNvPr>
        <xdr:cNvSpPr txBox="1"/>
      </xdr:nvSpPr>
      <xdr:spPr>
        <a:xfrm>
          <a:off x="1464128" y="1768929"/>
          <a:ext cx="1164772" cy="3673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i="1">
              <a:latin typeface="Bookman Old Style" panose="02050604050505020204" pitchFamily="18" charset="0"/>
            </a:rPr>
            <a:t>Filter</a:t>
          </a:r>
        </a:p>
      </xdr:txBody>
    </xdr:sp>
    <xdr:clientData/>
  </xdr:twoCellAnchor>
  <xdr:twoCellAnchor>
    <xdr:from>
      <xdr:col>8</xdr:col>
      <xdr:colOff>598714</xdr:colOff>
      <xdr:row>5</xdr:row>
      <xdr:rowOff>108857</xdr:rowOff>
    </xdr:from>
    <xdr:to>
      <xdr:col>12</xdr:col>
      <xdr:colOff>204107</xdr:colOff>
      <xdr:row>7</xdr:row>
      <xdr:rowOff>27214</xdr:rowOff>
    </xdr:to>
    <xdr:sp macro="" textlink="'pivit tables'!J5">
      <xdr:nvSpPr>
        <xdr:cNvPr id="12" name="TextBox 11">
          <a:extLst>
            <a:ext uri="{FF2B5EF4-FFF2-40B4-BE49-F238E27FC236}">
              <a16:creationId xmlns:a16="http://schemas.microsoft.com/office/drawing/2014/main" id="{7CB04875-BFC7-4EF5-9811-EC629BAD1878}"/>
            </a:ext>
          </a:extLst>
        </xdr:cNvPr>
        <xdr:cNvSpPr txBox="1"/>
      </xdr:nvSpPr>
      <xdr:spPr>
        <a:xfrm>
          <a:off x="5475514" y="1061357"/>
          <a:ext cx="2043793" cy="2993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E50C4C-B3AE-4AB9-A853-CCC38803EBB2}" type="TxLink">
            <a:rPr lang="en-US" sz="2400" b="1" i="1" u="none" strike="noStrike">
              <a:solidFill>
                <a:srgbClr val="000000"/>
              </a:solidFill>
              <a:latin typeface="Bookman Old Style" panose="02050604050505020204" pitchFamily="18" charset="0"/>
              <a:ea typeface="+mn-ea"/>
              <a:cs typeface="+mn-cs"/>
            </a:rPr>
            <a:pPr marL="0" indent="0" algn="ctr"/>
            <a:t>976</a:t>
          </a:fld>
          <a:endParaRPr lang="en-US" sz="2400" b="1" i="1">
            <a:solidFill>
              <a:schemeClr val="dk1"/>
            </a:solidFill>
            <a:latin typeface="Bookman Old Style" panose="02050604050505020204" pitchFamily="18" charset="0"/>
            <a:ea typeface="+mn-ea"/>
            <a:cs typeface="+mn-cs"/>
          </a:endParaRPr>
        </a:p>
      </xdr:txBody>
    </xdr:sp>
    <xdr:clientData/>
  </xdr:twoCellAnchor>
  <xdr:twoCellAnchor>
    <xdr:from>
      <xdr:col>14</xdr:col>
      <xdr:colOff>136070</xdr:colOff>
      <xdr:row>4</xdr:row>
      <xdr:rowOff>122465</xdr:rowOff>
    </xdr:from>
    <xdr:to>
      <xdr:col>18</xdr:col>
      <xdr:colOff>598713</xdr:colOff>
      <xdr:row>10</xdr:row>
      <xdr:rowOff>2721</xdr:rowOff>
    </xdr:to>
    <xdr:sp macro="" textlink="">
      <xdr:nvSpPr>
        <xdr:cNvPr id="13" name="Rectangle: Rounded Corners 12">
          <a:extLst>
            <a:ext uri="{FF2B5EF4-FFF2-40B4-BE49-F238E27FC236}">
              <a16:creationId xmlns:a16="http://schemas.microsoft.com/office/drawing/2014/main" id="{0335A72D-0BFE-4C8F-A38B-F94B1F030E07}"/>
            </a:ext>
          </a:extLst>
        </xdr:cNvPr>
        <xdr:cNvSpPr/>
      </xdr:nvSpPr>
      <xdr:spPr>
        <a:xfrm>
          <a:off x="8670470" y="884465"/>
          <a:ext cx="2901043" cy="1023256"/>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2000" b="1" i="0">
              <a:solidFill>
                <a:schemeClr val="dk1"/>
              </a:solidFill>
              <a:latin typeface="Bookman Old Style" panose="02050604050505020204" pitchFamily="18" charset="0"/>
              <a:ea typeface="+mn-ea"/>
              <a:cs typeface="+mn-cs"/>
            </a:rPr>
            <a:t>avg handling time </a:t>
          </a:r>
          <a:endParaRPr lang="LID4096" sz="2000" b="1" i="0">
            <a:solidFill>
              <a:schemeClr val="dk1"/>
            </a:solidFill>
            <a:latin typeface="Bookman Old Style" panose="02050604050505020204" pitchFamily="18" charset="0"/>
            <a:ea typeface="+mn-ea"/>
            <a:cs typeface="+mn-cs"/>
          </a:endParaRPr>
        </a:p>
      </xdr:txBody>
    </xdr:sp>
    <xdr:clientData/>
  </xdr:twoCellAnchor>
  <xdr:twoCellAnchor>
    <xdr:from>
      <xdr:col>14</xdr:col>
      <xdr:colOff>585107</xdr:colOff>
      <xdr:row>5</xdr:row>
      <xdr:rowOff>149679</xdr:rowOff>
    </xdr:from>
    <xdr:to>
      <xdr:col>18</xdr:col>
      <xdr:colOff>204107</xdr:colOff>
      <xdr:row>7</xdr:row>
      <xdr:rowOff>27214</xdr:rowOff>
    </xdr:to>
    <xdr:sp macro="" textlink="'pivit tables'!J25">
      <xdr:nvSpPr>
        <xdr:cNvPr id="14" name="TextBox 13">
          <a:extLst>
            <a:ext uri="{FF2B5EF4-FFF2-40B4-BE49-F238E27FC236}">
              <a16:creationId xmlns:a16="http://schemas.microsoft.com/office/drawing/2014/main" id="{8C4C6AD2-36ED-4F2A-94B8-4758C3E2F384}"/>
            </a:ext>
          </a:extLst>
        </xdr:cNvPr>
        <xdr:cNvSpPr txBox="1"/>
      </xdr:nvSpPr>
      <xdr:spPr>
        <a:xfrm>
          <a:off x="9119507" y="1102179"/>
          <a:ext cx="2057400" cy="258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37915C-EDB2-47F5-B300-FFA21F8F0E18}" type="TxLink">
            <a:rPr lang="en-US" sz="2000" b="1" i="1" u="none" strike="noStrike">
              <a:solidFill>
                <a:srgbClr val="000000"/>
              </a:solidFill>
              <a:latin typeface="Bookman Old Style" panose="02050604050505020204" pitchFamily="18" charset="0"/>
              <a:ea typeface="+mn-ea"/>
              <a:cs typeface="+mn-cs"/>
            </a:rPr>
            <a:pPr marL="0" indent="0" algn="ctr"/>
            <a:t>7.75</a:t>
          </a:fld>
          <a:endParaRPr lang="en-US" sz="2000" b="1" i="1" u="none" strike="noStrike">
            <a:solidFill>
              <a:srgbClr val="000000"/>
            </a:solidFill>
            <a:latin typeface="Bookman Old Style" panose="02050604050505020204" pitchFamily="18" charset="0"/>
            <a:ea typeface="+mn-ea"/>
            <a:cs typeface="+mn-cs"/>
          </a:endParaRPr>
        </a:p>
      </xdr:txBody>
    </xdr:sp>
    <xdr:clientData/>
  </xdr:twoCellAnchor>
  <xdr:twoCellAnchor>
    <xdr:from>
      <xdr:col>20</xdr:col>
      <xdr:colOff>95250</xdr:colOff>
      <xdr:row>4</xdr:row>
      <xdr:rowOff>163286</xdr:rowOff>
    </xdr:from>
    <xdr:to>
      <xdr:col>24</xdr:col>
      <xdr:colOff>571501</xdr:colOff>
      <xdr:row>10</xdr:row>
      <xdr:rowOff>27216</xdr:rowOff>
    </xdr:to>
    <xdr:sp macro="" textlink="">
      <xdr:nvSpPr>
        <xdr:cNvPr id="15" name="Rectangle: Rounded Corners 14">
          <a:extLst>
            <a:ext uri="{FF2B5EF4-FFF2-40B4-BE49-F238E27FC236}">
              <a16:creationId xmlns:a16="http://schemas.microsoft.com/office/drawing/2014/main" id="{C6B637A1-DCF4-471A-81DB-CF9634F7D78B}"/>
            </a:ext>
          </a:extLst>
        </xdr:cNvPr>
        <xdr:cNvSpPr/>
      </xdr:nvSpPr>
      <xdr:spPr>
        <a:xfrm>
          <a:off x="12287250" y="925286"/>
          <a:ext cx="2914651" cy="1006930"/>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0">
              <a:solidFill>
                <a:schemeClr val="dk1"/>
              </a:solidFill>
              <a:latin typeface="Bookman Old Style" panose="02050604050505020204" pitchFamily="18" charset="0"/>
              <a:ea typeface="+mn-ea"/>
              <a:cs typeface="+mn-cs"/>
            </a:rPr>
            <a:t>Total</a:t>
          </a:r>
          <a:r>
            <a:rPr lang="en-US" sz="1800" b="1" i="0" baseline="0">
              <a:solidFill>
                <a:schemeClr val="dk1"/>
              </a:solidFill>
              <a:latin typeface="Bookman Old Style" panose="02050604050505020204" pitchFamily="18" charset="0"/>
              <a:ea typeface="+mn-ea"/>
              <a:cs typeface="+mn-cs"/>
            </a:rPr>
            <a:t> Num of Egents</a:t>
          </a:r>
          <a:endParaRPr lang="LID4096" sz="1800" b="1" i="0">
            <a:solidFill>
              <a:schemeClr val="dk1"/>
            </a:solidFill>
            <a:latin typeface="Bookman Old Style" panose="02050604050505020204" pitchFamily="18" charset="0"/>
            <a:ea typeface="+mn-ea"/>
            <a:cs typeface="+mn-cs"/>
          </a:endParaRPr>
        </a:p>
      </xdr:txBody>
    </xdr:sp>
    <xdr:clientData/>
  </xdr:twoCellAnchor>
  <xdr:twoCellAnchor>
    <xdr:from>
      <xdr:col>20</xdr:col>
      <xdr:colOff>462642</xdr:colOff>
      <xdr:row>5</xdr:row>
      <xdr:rowOff>149679</xdr:rowOff>
    </xdr:from>
    <xdr:to>
      <xdr:col>24</xdr:col>
      <xdr:colOff>149678</xdr:colOff>
      <xdr:row>7</xdr:row>
      <xdr:rowOff>122465</xdr:rowOff>
    </xdr:to>
    <xdr:sp macro="" textlink="'pivit tables'!J11">
      <xdr:nvSpPr>
        <xdr:cNvPr id="16" name="TextBox 15">
          <a:extLst>
            <a:ext uri="{FF2B5EF4-FFF2-40B4-BE49-F238E27FC236}">
              <a16:creationId xmlns:a16="http://schemas.microsoft.com/office/drawing/2014/main" id="{780A8399-7B23-4781-B292-919B63F590EF}"/>
            </a:ext>
          </a:extLst>
        </xdr:cNvPr>
        <xdr:cNvSpPr txBox="1"/>
      </xdr:nvSpPr>
      <xdr:spPr>
        <a:xfrm>
          <a:off x="12654642" y="1102179"/>
          <a:ext cx="2125436"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76465B6-0489-4986-8F02-B557FAA2B2F9}" type="TxLink">
            <a:rPr lang="en-US" sz="2400" b="1" i="1" u="none" strike="noStrike">
              <a:solidFill>
                <a:srgbClr val="000000"/>
              </a:solidFill>
              <a:latin typeface="Bookman Old Style" panose="02050604050505020204" pitchFamily="18" charset="0"/>
              <a:ea typeface="+mn-ea"/>
              <a:cs typeface="+mn-cs"/>
            </a:rPr>
            <a:pPr marL="0" indent="0" algn="ctr"/>
            <a:t>8</a:t>
          </a:fld>
          <a:endParaRPr lang="en-US" sz="2400" b="1" i="1" u="none" strike="noStrike">
            <a:solidFill>
              <a:srgbClr val="000000"/>
            </a:solidFill>
            <a:latin typeface="Bookman Old Style" panose="02050604050505020204" pitchFamily="18" charset="0"/>
            <a:ea typeface="+mn-ea"/>
            <a:cs typeface="+mn-cs"/>
          </a:endParaRPr>
        </a:p>
      </xdr:txBody>
    </xdr:sp>
    <xdr:clientData/>
  </xdr:twoCellAnchor>
  <xdr:twoCellAnchor>
    <xdr:from>
      <xdr:col>25</xdr:col>
      <xdr:colOff>476250</xdr:colOff>
      <xdr:row>4</xdr:row>
      <xdr:rowOff>163286</xdr:rowOff>
    </xdr:from>
    <xdr:to>
      <xdr:col>30</xdr:col>
      <xdr:colOff>408214</xdr:colOff>
      <xdr:row>10</xdr:row>
      <xdr:rowOff>40823</xdr:rowOff>
    </xdr:to>
    <xdr:sp macro="" textlink="">
      <xdr:nvSpPr>
        <xdr:cNvPr id="17" name="Rectangle: Rounded Corners 16">
          <a:extLst>
            <a:ext uri="{FF2B5EF4-FFF2-40B4-BE49-F238E27FC236}">
              <a16:creationId xmlns:a16="http://schemas.microsoft.com/office/drawing/2014/main" id="{416D0C82-EEE3-44B3-96CB-D3750A168E0C}"/>
            </a:ext>
          </a:extLst>
        </xdr:cNvPr>
        <xdr:cNvSpPr/>
      </xdr:nvSpPr>
      <xdr:spPr>
        <a:xfrm>
          <a:off x="15784286" y="925286"/>
          <a:ext cx="2993571" cy="1020537"/>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100" b="0" i="1">
              <a:solidFill>
                <a:schemeClr val="lt1"/>
              </a:solidFill>
              <a:effectLst/>
              <a:latin typeface="+mn-lt"/>
              <a:ea typeface="+mn-ea"/>
              <a:cs typeface="+mn-cs"/>
            </a:rPr>
            <a:t>AVG Satisfaction </a:t>
          </a:r>
          <a:endParaRPr lang="en-US" sz="24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a:solidFill>
                <a:schemeClr val="dk1"/>
              </a:solidFill>
              <a:effectLst/>
              <a:latin typeface="Bookman Old Style" panose="02050604050505020204" pitchFamily="18" charset="0"/>
              <a:ea typeface="+mn-ea"/>
              <a:cs typeface="+mn-cs"/>
            </a:rPr>
            <a:t>Avg</a:t>
          </a:r>
          <a:r>
            <a:rPr lang="en-US" sz="2000" b="1" i="0" baseline="0">
              <a:solidFill>
                <a:schemeClr val="dk1"/>
              </a:solidFill>
              <a:effectLst/>
              <a:latin typeface="Bookman Old Style" panose="02050604050505020204" pitchFamily="18" charset="0"/>
              <a:ea typeface="+mn-ea"/>
              <a:cs typeface="+mn-cs"/>
            </a:rPr>
            <a:t> satisfaction</a:t>
          </a:r>
          <a:endParaRPr lang="en-US" sz="2000" i="0">
            <a:effectLst/>
          </a:endParaRPr>
        </a:p>
      </xdr:txBody>
    </xdr:sp>
    <xdr:clientData/>
  </xdr:twoCellAnchor>
  <xdr:twoCellAnchor>
    <xdr:from>
      <xdr:col>26</xdr:col>
      <xdr:colOff>476250</xdr:colOff>
      <xdr:row>6</xdr:row>
      <xdr:rowOff>68035</xdr:rowOff>
    </xdr:from>
    <xdr:to>
      <xdr:col>30</xdr:col>
      <xdr:colOff>0</xdr:colOff>
      <xdr:row>7</xdr:row>
      <xdr:rowOff>40821</xdr:rowOff>
    </xdr:to>
    <xdr:sp macro="" textlink="'pivit tables'!N5">
      <xdr:nvSpPr>
        <xdr:cNvPr id="18" name="TextBox 17">
          <a:extLst>
            <a:ext uri="{FF2B5EF4-FFF2-40B4-BE49-F238E27FC236}">
              <a16:creationId xmlns:a16="http://schemas.microsoft.com/office/drawing/2014/main" id="{8A567265-E25D-4734-BF76-ABB106FA55BB}"/>
            </a:ext>
          </a:extLst>
        </xdr:cNvPr>
        <xdr:cNvSpPr txBox="1"/>
      </xdr:nvSpPr>
      <xdr:spPr>
        <a:xfrm>
          <a:off x="16325850" y="1211035"/>
          <a:ext cx="1962150" cy="163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8A07301-DB47-496F-A2CE-5867B397C406}" type="TxLink">
            <a:rPr lang="en-US" sz="1800" b="1" i="1" u="none" strike="noStrike">
              <a:solidFill>
                <a:srgbClr val="000000"/>
              </a:solidFill>
              <a:latin typeface="Bookman Old Style" panose="02050604050505020204" pitchFamily="18" charset="0"/>
              <a:ea typeface="+mn-ea"/>
              <a:cs typeface="+mn-cs"/>
            </a:rPr>
            <a:pPr marL="0" indent="0" algn="ctr"/>
            <a:t>3.43</a:t>
          </a:fld>
          <a:endParaRPr lang="en-US" sz="2400" b="1" i="1" u="none" strike="noStrike">
            <a:solidFill>
              <a:srgbClr val="000000"/>
            </a:solidFill>
            <a:latin typeface="Bookman Old Style" panose="02050604050505020204" pitchFamily="18" charset="0"/>
            <a:ea typeface="+mn-ea"/>
            <a:cs typeface="+mn-cs"/>
          </a:endParaRPr>
        </a:p>
      </xdr:txBody>
    </xdr:sp>
    <xdr:clientData/>
  </xdr:twoCellAnchor>
  <xdr:twoCellAnchor editAs="oneCell">
    <xdr:from>
      <xdr:col>1</xdr:col>
      <xdr:colOff>231323</xdr:colOff>
      <xdr:row>12</xdr:row>
      <xdr:rowOff>13607</xdr:rowOff>
    </xdr:from>
    <xdr:to>
      <xdr:col>4</xdr:col>
      <xdr:colOff>223158</xdr:colOff>
      <xdr:row>26</xdr:row>
      <xdr:rowOff>13607</xdr:rowOff>
    </xdr:to>
    <mc:AlternateContent xmlns:mc="http://schemas.openxmlformats.org/markup-compatibility/2006" xmlns:a14="http://schemas.microsoft.com/office/drawing/2010/main">
      <mc:Choice Requires="a14">
        <xdr:graphicFrame macro="">
          <xdr:nvGraphicFramePr>
            <xdr:cNvPr id="19" name="Agent 2">
              <a:extLst>
                <a:ext uri="{FF2B5EF4-FFF2-40B4-BE49-F238E27FC236}">
                  <a16:creationId xmlns:a16="http://schemas.microsoft.com/office/drawing/2014/main" id="{75EC38B1-2135-4439-86AD-25F441F464AA}"/>
                </a:ext>
              </a:extLst>
            </xdr:cNvPr>
            <xdr:cNvGraphicFramePr/>
          </xdr:nvGraphicFramePr>
          <xdr:xfrm>
            <a:off x="0" y="0"/>
            <a:ext cx="0" cy="0"/>
          </xdr:xfrm>
          <a:graphic>
            <a:graphicData uri="http://schemas.microsoft.com/office/drawing/2010/slicer">
              <sle:slicer xmlns:sle="http://schemas.microsoft.com/office/drawing/2010/slicer" name="Agent 2"/>
            </a:graphicData>
          </a:graphic>
        </xdr:graphicFrame>
      </mc:Choice>
      <mc:Fallback xmlns="">
        <xdr:sp macro="" textlink="">
          <xdr:nvSpPr>
            <xdr:cNvPr id="0" name=""/>
            <xdr:cNvSpPr>
              <a:spLocks noTextEdit="1"/>
            </xdr:cNvSpPr>
          </xdr:nvSpPr>
          <xdr:spPr>
            <a:xfrm>
              <a:off x="843644" y="2299607"/>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234044</xdr:colOff>
      <xdr:row>26</xdr:row>
      <xdr:rowOff>111577</xdr:rowOff>
    </xdr:from>
    <xdr:to>
      <xdr:col>4</xdr:col>
      <xdr:colOff>225879</xdr:colOff>
      <xdr:row>35</xdr:row>
      <xdr:rowOff>149678</xdr:rowOff>
    </xdr:to>
    <mc:AlternateContent xmlns:mc="http://schemas.openxmlformats.org/markup-compatibility/2006" xmlns:a14="http://schemas.microsoft.com/office/drawing/2010/main">
      <mc:Choice Requires="a14">
        <xdr:graphicFrame macro="">
          <xdr:nvGraphicFramePr>
            <xdr:cNvPr id="20" name="Topic 2">
              <a:extLst>
                <a:ext uri="{FF2B5EF4-FFF2-40B4-BE49-F238E27FC236}">
                  <a16:creationId xmlns:a16="http://schemas.microsoft.com/office/drawing/2014/main" id="{436DC574-2F00-45C7-9733-AC3A411144F5}"/>
                </a:ext>
              </a:extLst>
            </xdr:cNvPr>
            <xdr:cNvGraphicFramePr/>
          </xdr:nvGraphicFramePr>
          <xdr:xfrm>
            <a:off x="0" y="0"/>
            <a:ext cx="0" cy="0"/>
          </xdr:xfrm>
          <a:graphic>
            <a:graphicData uri="http://schemas.microsoft.com/office/drawing/2010/slicer">
              <sle:slicer xmlns:sle="http://schemas.microsoft.com/office/drawing/2010/slicer" name="Topic 2"/>
            </a:graphicData>
          </a:graphic>
        </xdr:graphicFrame>
      </mc:Choice>
      <mc:Fallback xmlns="">
        <xdr:sp macro="" textlink="">
          <xdr:nvSpPr>
            <xdr:cNvPr id="0" name=""/>
            <xdr:cNvSpPr>
              <a:spLocks noTextEdit="1"/>
            </xdr:cNvSpPr>
          </xdr:nvSpPr>
          <xdr:spPr>
            <a:xfrm>
              <a:off x="846365" y="5064577"/>
              <a:ext cx="1828800" cy="1752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299357</xdr:colOff>
      <xdr:row>25</xdr:row>
      <xdr:rowOff>95250</xdr:rowOff>
    </xdr:from>
    <xdr:to>
      <xdr:col>4</xdr:col>
      <xdr:colOff>261256</xdr:colOff>
      <xdr:row>25</xdr:row>
      <xdr:rowOff>106136</xdr:rowOff>
    </xdr:to>
    <xdr:cxnSp macro="">
      <xdr:nvCxnSpPr>
        <xdr:cNvPr id="21" name="Straight Connector 20">
          <a:extLst>
            <a:ext uri="{FF2B5EF4-FFF2-40B4-BE49-F238E27FC236}">
              <a16:creationId xmlns:a16="http://schemas.microsoft.com/office/drawing/2014/main" id="{CEC0E9A9-50D5-4935-A18B-E8C77972D461}"/>
            </a:ext>
          </a:extLst>
        </xdr:cNvPr>
        <xdr:cNvCxnSpPr/>
      </xdr:nvCxnSpPr>
      <xdr:spPr>
        <a:xfrm flipV="1">
          <a:off x="908957" y="4857750"/>
          <a:ext cx="1790699" cy="10886"/>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385677</xdr:colOff>
      <xdr:row>12</xdr:row>
      <xdr:rowOff>162436</xdr:rowOff>
    </xdr:from>
    <xdr:to>
      <xdr:col>28</xdr:col>
      <xdr:colOff>231321</xdr:colOff>
      <xdr:row>25</xdr:row>
      <xdr:rowOff>43372</xdr:rowOff>
    </xdr:to>
    <xdr:sp macro="" textlink="">
      <xdr:nvSpPr>
        <xdr:cNvPr id="22" name="Rectangle: Rounded Corners 21">
          <a:extLst>
            <a:ext uri="{FF2B5EF4-FFF2-40B4-BE49-F238E27FC236}">
              <a16:creationId xmlns:a16="http://schemas.microsoft.com/office/drawing/2014/main" id="{E93CBB92-B388-46D5-8326-FB16993C6A4D}"/>
            </a:ext>
          </a:extLst>
        </xdr:cNvPr>
        <xdr:cNvSpPr/>
      </xdr:nvSpPr>
      <xdr:spPr>
        <a:xfrm>
          <a:off x="3447284" y="2448436"/>
          <a:ext cx="13929037" cy="2357436"/>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2000" b="1" i="1">
              <a:solidFill>
                <a:schemeClr val="dk1"/>
              </a:solidFill>
              <a:latin typeface="Bookman Old Style" panose="02050604050505020204" pitchFamily="18" charset="0"/>
              <a:ea typeface="+mn-ea"/>
              <a:cs typeface="+mn-cs"/>
            </a:rPr>
            <a:t>Calls</a:t>
          </a:r>
          <a:r>
            <a:rPr lang="en-US" sz="2000" b="1" i="1" baseline="0">
              <a:solidFill>
                <a:schemeClr val="dk1"/>
              </a:solidFill>
              <a:latin typeface="Bookman Old Style" panose="02050604050505020204" pitchFamily="18" charset="0"/>
              <a:ea typeface="+mn-ea"/>
              <a:cs typeface="+mn-cs"/>
            </a:rPr>
            <a:t> Per Day</a:t>
          </a:r>
          <a:endParaRPr lang="LID4096" sz="2000" b="1" i="1">
            <a:solidFill>
              <a:schemeClr val="dk1"/>
            </a:solidFill>
            <a:latin typeface="Bookman Old Style" panose="02050604050505020204" pitchFamily="18" charset="0"/>
            <a:ea typeface="+mn-ea"/>
            <a:cs typeface="+mn-cs"/>
          </a:endParaRPr>
        </a:p>
      </xdr:txBody>
    </xdr:sp>
    <xdr:clientData/>
  </xdr:twoCellAnchor>
  <xdr:twoCellAnchor>
    <xdr:from>
      <xdr:col>28</xdr:col>
      <xdr:colOff>476250</xdr:colOff>
      <xdr:row>15</xdr:row>
      <xdr:rowOff>68036</xdr:rowOff>
    </xdr:from>
    <xdr:to>
      <xdr:col>34</xdr:col>
      <xdr:colOff>217714</xdr:colOff>
      <xdr:row>36</xdr:row>
      <xdr:rowOff>13607</xdr:rowOff>
    </xdr:to>
    <xdr:sp macro="" textlink="">
      <xdr:nvSpPr>
        <xdr:cNvPr id="33" name="Rectangle: Rounded Corners 32">
          <a:extLst>
            <a:ext uri="{FF2B5EF4-FFF2-40B4-BE49-F238E27FC236}">
              <a16:creationId xmlns:a16="http://schemas.microsoft.com/office/drawing/2014/main" id="{24FEFB08-8801-42E1-BF8A-B7E3EC384356}"/>
            </a:ext>
          </a:extLst>
        </xdr:cNvPr>
        <xdr:cNvSpPr/>
      </xdr:nvSpPr>
      <xdr:spPr>
        <a:xfrm>
          <a:off x="17621250" y="2925536"/>
          <a:ext cx="3415393" cy="3946071"/>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1">
              <a:solidFill>
                <a:schemeClr val="dk1"/>
              </a:solidFill>
              <a:latin typeface="Bookman Old Style" panose="02050604050505020204" pitchFamily="18" charset="0"/>
              <a:ea typeface="+mn-ea"/>
              <a:cs typeface="+mn-cs"/>
            </a:rPr>
            <a:t>Calls</a:t>
          </a:r>
          <a:r>
            <a:rPr lang="en-US" sz="2000" b="1" i="1" baseline="0">
              <a:solidFill>
                <a:schemeClr val="dk1"/>
              </a:solidFill>
              <a:latin typeface="Bookman Old Style" panose="02050604050505020204" pitchFamily="18" charset="0"/>
              <a:ea typeface="+mn-ea"/>
              <a:cs typeface="+mn-cs"/>
            </a:rPr>
            <a:t> Per Month</a:t>
          </a:r>
        </a:p>
      </xdr:txBody>
    </xdr:sp>
    <xdr:clientData/>
  </xdr:twoCellAnchor>
  <xdr:twoCellAnchor>
    <xdr:from>
      <xdr:col>6</xdr:col>
      <xdr:colOff>14883</xdr:colOff>
      <xdr:row>15</xdr:row>
      <xdr:rowOff>40820</xdr:rowOff>
    </xdr:from>
    <xdr:to>
      <xdr:col>28</xdr:col>
      <xdr:colOff>40821</xdr:colOff>
      <xdr:row>23</xdr:row>
      <xdr:rowOff>44647</xdr:rowOff>
    </xdr:to>
    <xdr:graphicFrame macro="">
      <xdr:nvGraphicFramePr>
        <xdr:cNvPr id="34" name="Chart 33">
          <a:extLst>
            <a:ext uri="{FF2B5EF4-FFF2-40B4-BE49-F238E27FC236}">
              <a16:creationId xmlns:a16="http://schemas.microsoft.com/office/drawing/2014/main" id="{8AA16226-03EE-459D-9442-29D0043FA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303609</xdr:colOff>
      <xdr:row>26</xdr:row>
      <xdr:rowOff>176892</xdr:rowOff>
    </xdr:from>
    <xdr:to>
      <xdr:col>28</xdr:col>
      <xdr:colOff>353786</xdr:colOff>
      <xdr:row>39</xdr:row>
      <xdr:rowOff>13607</xdr:rowOff>
    </xdr:to>
    <xdr:sp macro="" textlink="">
      <xdr:nvSpPr>
        <xdr:cNvPr id="35" name="Rectangle: Rounded Corners 34">
          <a:extLst>
            <a:ext uri="{FF2B5EF4-FFF2-40B4-BE49-F238E27FC236}">
              <a16:creationId xmlns:a16="http://schemas.microsoft.com/office/drawing/2014/main" id="{304B30C3-2BFB-49F5-8BC6-795F0BE9BF3B}"/>
            </a:ext>
          </a:extLst>
        </xdr:cNvPr>
        <xdr:cNvSpPr/>
      </xdr:nvSpPr>
      <xdr:spPr>
        <a:xfrm>
          <a:off x="3365216" y="5129892"/>
          <a:ext cx="14133570" cy="2313215"/>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2000" b="1" i="1">
              <a:solidFill>
                <a:schemeClr val="dk1"/>
              </a:solidFill>
              <a:latin typeface="Bookman Old Style" panose="02050604050505020204" pitchFamily="18" charset="0"/>
              <a:ea typeface="+mn-ea"/>
              <a:cs typeface="+mn-cs"/>
            </a:rPr>
            <a:t>Calls</a:t>
          </a:r>
          <a:r>
            <a:rPr lang="en-US" sz="2000" b="1" i="1" baseline="0">
              <a:solidFill>
                <a:schemeClr val="dk1"/>
              </a:solidFill>
              <a:latin typeface="Bookman Old Style" panose="02050604050505020204" pitchFamily="18" charset="0"/>
              <a:ea typeface="+mn-ea"/>
              <a:cs typeface="+mn-cs"/>
            </a:rPr>
            <a:t> Per Day</a:t>
          </a:r>
          <a:endParaRPr lang="LID4096" sz="2000" b="1" i="1">
            <a:solidFill>
              <a:schemeClr val="dk1"/>
            </a:solidFill>
            <a:latin typeface="Bookman Old Style" panose="02050604050505020204" pitchFamily="18" charset="0"/>
            <a:ea typeface="+mn-ea"/>
            <a:cs typeface="+mn-cs"/>
          </a:endParaRPr>
        </a:p>
      </xdr:txBody>
    </xdr:sp>
    <xdr:clientData/>
  </xdr:twoCellAnchor>
  <xdr:twoCellAnchor>
    <xdr:from>
      <xdr:col>5</xdr:col>
      <xdr:colOff>517071</xdr:colOff>
      <xdr:row>28</xdr:row>
      <xdr:rowOff>83344</xdr:rowOff>
    </xdr:from>
    <xdr:to>
      <xdr:col>27</xdr:col>
      <xdr:colOff>606368</xdr:colOff>
      <xdr:row>36</xdr:row>
      <xdr:rowOff>95250</xdr:rowOff>
    </xdr:to>
    <xdr:graphicFrame macro="">
      <xdr:nvGraphicFramePr>
        <xdr:cNvPr id="36" name="Chart 35">
          <a:extLst>
            <a:ext uri="{FF2B5EF4-FFF2-40B4-BE49-F238E27FC236}">
              <a16:creationId xmlns:a16="http://schemas.microsoft.com/office/drawing/2014/main" id="{6D6D5863-49F4-45FD-AC83-7E4D8AF24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204107</xdr:colOff>
      <xdr:row>16</xdr:row>
      <xdr:rowOff>40822</xdr:rowOff>
    </xdr:from>
    <xdr:to>
      <xdr:col>34</xdr:col>
      <xdr:colOff>0</xdr:colOff>
      <xdr:row>32</xdr:row>
      <xdr:rowOff>95250</xdr:rowOff>
    </xdr:to>
    <xdr:graphicFrame macro="">
      <xdr:nvGraphicFramePr>
        <xdr:cNvPr id="37" name="Chart 36">
          <a:extLst>
            <a:ext uri="{FF2B5EF4-FFF2-40B4-BE49-F238E27FC236}">
              <a16:creationId xmlns:a16="http://schemas.microsoft.com/office/drawing/2014/main" id="{8CFA9BE6-272A-45FC-8E2B-D9271F795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13608</xdr:colOff>
      <xdr:row>7</xdr:row>
      <xdr:rowOff>136072</xdr:rowOff>
    </xdr:from>
    <xdr:to>
      <xdr:col>4</xdr:col>
      <xdr:colOff>530678</xdr:colOff>
      <xdr:row>35</xdr:row>
      <xdr:rowOff>149680</xdr:rowOff>
    </xdr:to>
    <xdr:sp macro="" textlink="">
      <xdr:nvSpPr>
        <xdr:cNvPr id="2" name="Rectangle: Rounded Corners 1">
          <a:extLst>
            <a:ext uri="{FF2B5EF4-FFF2-40B4-BE49-F238E27FC236}">
              <a16:creationId xmlns:a16="http://schemas.microsoft.com/office/drawing/2014/main" id="{63258D9F-D86A-4F7D-8979-DE14F6C69570}"/>
            </a:ext>
          </a:extLst>
        </xdr:cNvPr>
        <xdr:cNvSpPr/>
      </xdr:nvSpPr>
      <xdr:spPr>
        <a:xfrm>
          <a:off x="623208" y="1469572"/>
          <a:ext cx="2345870" cy="5347608"/>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editAs="oneCell">
    <xdr:from>
      <xdr:col>4</xdr:col>
      <xdr:colOff>571499</xdr:colOff>
      <xdr:row>3</xdr:row>
      <xdr:rowOff>54429</xdr:rowOff>
    </xdr:from>
    <xdr:to>
      <xdr:col>7</xdr:col>
      <xdr:colOff>511628</xdr:colOff>
      <xdr:row>9</xdr:row>
      <xdr:rowOff>179615</xdr:rowOff>
    </xdr:to>
    <xdr:pic>
      <xdr:nvPicPr>
        <xdr:cNvPr id="4" name="Picture 3">
          <a:extLst>
            <a:ext uri="{FF2B5EF4-FFF2-40B4-BE49-F238E27FC236}">
              <a16:creationId xmlns:a16="http://schemas.microsoft.com/office/drawing/2014/main" id="{21DBA63A-31D8-4FEF-80DE-C156A61B3F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09899" y="625929"/>
          <a:ext cx="1768929" cy="1268186"/>
        </a:xfrm>
        <a:prstGeom prst="rect">
          <a:avLst/>
        </a:prstGeom>
        <a:ln>
          <a:noFill/>
        </a:ln>
        <a:effectLst>
          <a:softEdge rad="112500"/>
        </a:effectLst>
      </xdr:spPr>
    </xdr:pic>
    <xdr:clientData/>
  </xdr:twoCellAnchor>
  <xdr:twoCellAnchor editAs="oneCell">
    <xdr:from>
      <xdr:col>31</xdr:col>
      <xdr:colOff>108858</xdr:colOff>
      <xdr:row>4</xdr:row>
      <xdr:rowOff>163286</xdr:rowOff>
    </xdr:from>
    <xdr:to>
      <xdr:col>32</xdr:col>
      <xdr:colOff>212271</xdr:colOff>
      <xdr:row>7</xdr:row>
      <xdr:rowOff>108857</xdr:rowOff>
    </xdr:to>
    <xdr:pic>
      <xdr:nvPicPr>
        <xdr:cNvPr id="5" name="Picture 4">
          <a:hlinkClick xmlns:r="http://schemas.openxmlformats.org/officeDocument/2006/relationships" r:id="rId2"/>
          <a:extLst>
            <a:ext uri="{FF2B5EF4-FFF2-40B4-BE49-F238E27FC236}">
              <a16:creationId xmlns:a16="http://schemas.microsoft.com/office/drawing/2014/main" id="{92715275-E520-4720-AA36-E8197BC9FAC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006458" y="925286"/>
          <a:ext cx="713013" cy="517071"/>
        </a:xfrm>
        <a:prstGeom prst="rect">
          <a:avLst/>
        </a:prstGeom>
      </xdr:spPr>
    </xdr:pic>
    <xdr:clientData/>
  </xdr:twoCellAnchor>
  <xdr:twoCellAnchor editAs="oneCell">
    <xdr:from>
      <xdr:col>31</xdr:col>
      <xdr:colOff>519793</xdr:colOff>
      <xdr:row>4</xdr:row>
      <xdr:rowOff>166007</xdr:rowOff>
    </xdr:from>
    <xdr:to>
      <xdr:col>33</xdr:col>
      <xdr:colOff>10885</xdr:colOff>
      <xdr:row>7</xdr:row>
      <xdr:rowOff>111578</xdr:rowOff>
    </xdr:to>
    <xdr:pic>
      <xdr:nvPicPr>
        <xdr:cNvPr id="6" name="Picture 5">
          <a:hlinkClick xmlns:r="http://schemas.openxmlformats.org/officeDocument/2006/relationships" r:id="rId2"/>
          <a:extLst>
            <a:ext uri="{FF2B5EF4-FFF2-40B4-BE49-F238E27FC236}">
              <a16:creationId xmlns:a16="http://schemas.microsoft.com/office/drawing/2014/main" id="{E31A3826-EB9A-4374-B214-E11AD3C94A1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417393" y="928007"/>
          <a:ext cx="710292" cy="517071"/>
        </a:xfrm>
        <a:prstGeom prst="rect">
          <a:avLst/>
        </a:prstGeom>
      </xdr:spPr>
    </xdr:pic>
    <xdr:clientData/>
  </xdr:twoCellAnchor>
  <xdr:twoCellAnchor editAs="oneCell">
    <xdr:from>
      <xdr:col>1</xdr:col>
      <xdr:colOff>108857</xdr:colOff>
      <xdr:row>3</xdr:row>
      <xdr:rowOff>13608</xdr:rowOff>
    </xdr:from>
    <xdr:to>
      <xdr:col>2</xdr:col>
      <xdr:colOff>212270</xdr:colOff>
      <xdr:row>5</xdr:row>
      <xdr:rowOff>149679</xdr:rowOff>
    </xdr:to>
    <xdr:pic>
      <xdr:nvPicPr>
        <xdr:cNvPr id="7" name="Picture 6">
          <a:hlinkClick xmlns:r="http://schemas.openxmlformats.org/officeDocument/2006/relationships" r:id="rId4"/>
          <a:extLst>
            <a:ext uri="{FF2B5EF4-FFF2-40B4-BE49-F238E27FC236}">
              <a16:creationId xmlns:a16="http://schemas.microsoft.com/office/drawing/2014/main" id="{53F8321E-F5A6-4A8D-B40E-27D9BA63652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718457" y="585108"/>
          <a:ext cx="713013" cy="517071"/>
        </a:xfrm>
        <a:prstGeom prst="rect">
          <a:avLst/>
        </a:prstGeom>
      </xdr:spPr>
    </xdr:pic>
    <xdr:clientData/>
  </xdr:twoCellAnchor>
  <xdr:twoCellAnchor editAs="oneCell">
    <xdr:from>
      <xdr:col>1</xdr:col>
      <xdr:colOff>476251</xdr:colOff>
      <xdr:row>2</xdr:row>
      <xdr:rowOff>176894</xdr:rowOff>
    </xdr:from>
    <xdr:to>
      <xdr:col>2</xdr:col>
      <xdr:colOff>579664</xdr:colOff>
      <xdr:row>5</xdr:row>
      <xdr:rowOff>122465</xdr:rowOff>
    </xdr:to>
    <xdr:pic>
      <xdr:nvPicPr>
        <xdr:cNvPr id="8" name="Picture 7">
          <a:hlinkClick xmlns:r="http://schemas.openxmlformats.org/officeDocument/2006/relationships" r:id="rId4"/>
          <a:extLst>
            <a:ext uri="{FF2B5EF4-FFF2-40B4-BE49-F238E27FC236}">
              <a16:creationId xmlns:a16="http://schemas.microsoft.com/office/drawing/2014/main" id="{F5033330-8A50-40B2-BD0A-F98A8F329AD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1085851" y="557894"/>
          <a:ext cx="713013" cy="517071"/>
        </a:xfrm>
        <a:prstGeom prst="rect">
          <a:avLst/>
        </a:prstGeom>
      </xdr:spPr>
    </xdr:pic>
    <xdr:clientData/>
  </xdr:twoCellAnchor>
  <xdr:twoCellAnchor editAs="oneCell">
    <xdr:from>
      <xdr:col>1</xdr:col>
      <xdr:colOff>312965</xdr:colOff>
      <xdr:row>8</xdr:row>
      <xdr:rowOff>176893</xdr:rowOff>
    </xdr:from>
    <xdr:to>
      <xdr:col>2</xdr:col>
      <xdr:colOff>155121</xdr:colOff>
      <xdr:row>11</xdr:row>
      <xdr:rowOff>100693</xdr:rowOff>
    </xdr:to>
    <xdr:pic macro="[0]!remove_filters">
      <xdr:nvPicPr>
        <xdr:cNvPr id="9" name="Picture 8">
          <a:extLst>
            <a:ext uri="{FF2B5EF4-FFF2-40B4-BE49-F238E27FC236}">
              <a16:creationId xmlns:a16="http://schemas.microsoft.com/office/drawing/2014/main" id="{980B59A5-73EC-43D0-A645-2BE27ECC3E1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22565" y="1700893"/>
          <a:ext cx="451756" cy="495300"/>
        </a:xfrm>
        <a:prstGeom prst="rect">
          <a:avLst/>
        </a:prstGeom>
      </xdr:spPr>
    </xdr:pic>
    <xdr:clientData/>
  </xdr:twoCellAnchor>
  <xdr:twoCellAnchor>
    <xdr:from>
      <xdr:col>2</xdr:col>
      <xdr:colOff>244928</xdr:colOff>
      <xdr:row>9</xdr:row>
      <xdr:rowOff>54429</xdr:rowOff>
    </xdr:from>
    <xdr:to>
      <xdr:col>4</xdr:col>
      <xdr:colOff>190500</xdr:colOff>
      <xdr:row>11</xdr:row>
      <xdr:rowOff>40821</xdr:rowOff>
    </xdr:to>
    <xdr:sp macro="" textlink="">
      <xdr:nvSpPr>
        <xdr:cNvPr id="10" name="TextBox 9">
          <a:extLst>
            <a:ext uri="{FF2B5EF4-FFF2-40B4-BE49-F238E27FC236}">
              <a16:creationId xmlns:a16="http://schemas.microsoft.com/office/drawing/2014/main" id="{4094140B-422E-4585-BFC9-9851AA4A19F7}"/>
            </a:ext>
          </a:extLst>
        </xdr:cNvPr>
        <xdr:cNvSpPr txBox="1"/>
      </xdr:nvSpPr>
      <xdr:spPr>
        <a:xfrm>
          <a:off x="1464128" y="1768929"/>
          <a:ext cx="1164772" cy="3673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i="1">
              <a:latin typeface="Bookman Old Style" panose="02050604050505020204" pitchFamily="18" charset="0"/>
            </a:rPr>
            <a:t>Filter</a:t>
          </a:r>
        </a:p>
      </xdr:txBody>
    </xdr:sp>
    <xdr:clientData/>
  </xdr:twoCellAnchor>
  <xdr:twoCellAnchor editAs="oneCell">
    <xdr:from>
      <xdr:col>1</xdr:col>
      <xdr:colOff>231323</xdr:colOff>
      <xdr:row>12</xdr:row>
      <xdr:rowOff>13607</xdr:rowOff>
    </xdr:from>
    <xdr:to>
      <xdr:col>4</xdr:col>
      <xdr:colOff>223158</xdr:colOff>
      <xdr:row>26</xdr:row>
      <xdr:rowOff>13607</xdr:rowOff>
    </xdr:to>
    <mc:AlternateContent xmlns:mc="http://schemas.openxmlformats.org/markup-compatibility/2006" xmlns:a14="http://schemas.microsoft.com/office/drawing/2010/main">
      <mc:Choice Requires="a14">
        <xdr:graphicFrame macro="">
          <xdr:nvGraphicFramePr>
            <xdr:cNvPr id="18" name="Agent 4">
              <a:extLst>
                <a:ext uri="{FF2B5EF4-FFF2-40B4-BE49-F238E27FC236}">
                  <a16:creationId xmlns:a16="http://schemas.microsoft.com/office/drawing/2014/main" id="{60C5B37D-0B3A-4941-A75A-9ECDB7A78CBB}"/>
                </a:ext>
              </a:extLst>
            </xdr:cNvPr>
            <xdr:cNvGraphicFramePr/>
          </xdr:nvGraphicFramePr>
          <xdr:xfrm>
            <a:off x="0" y="0"/>
            <a:ext cx="0" cy="0"/>
          </xdr:xfrm>
          <a:graphic>
            <a:graphicData uri="http://schemas.microsoft.com/office/drawing/2010/slicer">
              <sle:slicer xmlns:sle="http://schemas.microsoft.com/office/drawing/2010/slicer" name="Agent 4"/>
            </a:graphicData>
          </a:graphic>
        </xdr:graphicFrame>
      </mc:Choice>
      <mc:Fallback xmlns="">
        <xdr:sp macro="" textlink="">
          <xdr:nvSpPr>
            <xdr:cNvPr id="0" name=""/>
            <xdr:cNvSpPr>
              <a:spLocks noTextEdit="1"/>
            </xdr:cNvSpPr>
          </xdr:nvSpPr>
          <xdr:spPr>
            <a:xfrm>
              <a:off x="843644" y="2299607"/>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234044</xdr:colOff>
      <xdr:row>26</xdr:row>
      <xdr:rowOff>111577</xdr:rowOff>
    </xdr:from>
    <xdr:to>
      <xdr:col>4</xdr:col>
      <xdr:colOff>225879</xdr:colOff>
      <xdr:row>35</xdr:row>
      <xdr:rowOff>149678</xdr:rowOff>
    </xdr:to>
    <mc:AlternateContent xmlns:mc="http://schemas.openxmlformats.org/markup-compatibility/2006" xmlns:a14="http://schemas.microsoft.com/office/drawing/2010/main">
      <mc:Choice Requires="a14">
        <xdr:graphicFrame macro="">
          <xdr:nvGraphicFramePr>
            <xdr:cNvPr id="19" name="Topic 4">
              <a:extLst>
                <a:ext uri="{FF2B5EF4-FFF2-40B4-BE49-F238E27FC236}">
                  <a16:creationId xmlns:a16="http://schemas.microsoft.com/office/drawing/2014/main" id="{98405821-4F75-450F-92C7-05DC0CDC3802}"/>
                </a:ext>
              </a:extLst>
            </xdr:cNvPr>
            <xdr:cNvGraphicFramePr/>
          </xdr:nvGraphicFramePr>
          <xdr:xfrm>
            <a:off x="0" y="0"/>
            <a:ext cx="0" cy="0"/>
          </xdr:xfrm>
          <a:graphic>
            <a:graphicData uri="http://schemas.microsoft.com/office/drawing/2010/slicer">
              <sle:slicer xmlns:sle="http://schemas.microsoft.com/office/drawing/2010/slicer" name="Topic 4"/>
            </a:graphicData>
          </a:graphic>
        </xdr:graphicFrame>
      </mc:Choice>
      <mc:Fallback xmlns="">
        <xdr:sp macro="" textlink="">
          <xdr:nvSpPr>
            <xdr:cNvPr id="0" name=""/>
            <xdr:cNvSpPr>
              <a:spLocks noTextEdit="1"/>
            </xdr:cNvSpPr>
          </xdr:nvSpPr>
          <xdr:spPr>
            <a:xfrm>
              <a:off x="846365" y="5064577"/>
              <a:ext cx="1828800" cy="1752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299357</xdr:colOff>
      <xdr:row>25</xdr:row>
      <xdr:rowOff>95250</xdr:rowOff>
    </xdr:from>
    <xdr:to>
      <xdr:col>4</xdr:col>
      <xdr:colOff>261256</xdr:colOff>
      <xdr:row>25</xdr:row>
      <xdr:rowOff>106136</xdr:rowOff>
    </xdr:to>
    <xdr:cxnSp macro="">
      <xdr:nvCxnSpPr>
        <xdr:cNvPr id="20" name="Straight Connector 19">
          <a:extLst>
            <a:ext uri="{FF2B5EF4-FFF2-40B4-BE49-F238E27FC236}">
              <a16:creationId xmlns:a16="http://schemas.microsoft.com/office/drawing/2014/main" id="{5D5BDE6D-ED2D-47B3-91DF-5639063D8128}"/>
            </a:ext>
          </a:extLst>
        </xdr:cNvPr>
        <xdr:cNvCxnSpPr/>
      </xdr:nvCxnSpPr>
      <xdr:spPr>
        <a:xfrm flipV="1">
          <a:off x="908957" y="4857750"/>
          <a:ext cx="1790699" cy="10886"/>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54429</xdr:colOff>
      <xdr:row>1</xdr:row>
      <xdr:rowOff>54429</xdr:rowOff>
    </xdr:from>
    <xdr:to>
      <xdr:col>30</xdr:col>
      <xdr:colOff>258536</xdr:colOff>
      <xdr:row>20</xdr:row>
      <xdr:rowOff>122465</xdr:rowOff>
    </xdr:to>
    <xdr:sp macro="" textlink="">
      <xdr:nvSpPr>
        <xdr:cNvPr id="28" name="Rectangle 27">
          <a:extLst>
            <a:ext uri="{FF2B5EF4-FFF2-40B4-BE49-F238E27FC236}">
              <a16:creationId xmlns:a16="http://schemas.microsoft.com/office/drawing/2014/main" id="{87DF194A-6FAD-40A5-8054-E11A4E9741C1}"/>
            </a:ext>
          </a:extLst>
        </xdr:cNvPr>
        <xdr:cNvSpPr/>
      </xdr:nvSpPr>
      <xdr:spPr>
        <a:xfrm>
          <a:off x="4953000" y="244929"/>
          <a:ext cx="13675179" cy="3687536"/>
        </a:xfrm>
        <a:prstGeom prst="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40823</xdr:colOff>
      <xdr:row>1</xdr:row>
      <xdr:rowOff>40820</xdr:rowOff>
    </xdr:from>
    <xdr:to>
      <xdr:col>11</xdr:col>
      <xdr:colOff>544287</xdr:colOff>
      <xdr:row>3</xdr:row>
      <xdr:rowOff>149677</xdr:rowOff>
    </xdr:to>
    <xdr:sp macro="" textlink="">
      <xdr:nvSpPr>
        <xdr:cNvPr id="29" name="Rectangle: Single Corner Snipped 28">
          <a:extLst>
            <a:ext uri="{FF2B5EF4-FFF2-40B4-BE49-F238E27FC236}">
              <a16:creationId xmlns:a16="http://schemas.microsoft.com/office/drawing/2014/main" id="{D3C8608B-49E8-471A-9E24-3E07A6FD8F63}"/>
            </a:ext>
          </a:extLst>
        </xdr:cNvPr>
        <xdr:cNvSpPr/>
      </xdr:nvSpPr>
      <xdr:spPr>
        <a:xfrm>
          <a:off x="4939394" y="231320"/>
          <a:ext cx="2340429" cy="489857"/>
        </a:xfrm>
        <a:prstGeom prst="snip1Rect">
          <a:avLst/>
        </a:prstGeom>
        <a:solidFill>
          <a:srgbClr val="F2AB9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0">
              <a:latin typeface="Bookman Old Style" panose="02050604050505020204" pitchFamily="18" charset="0"/>
            </a:rPr>
            <a:t>Key</a:t>
          </a:r>
          <a:r>
            <a:rPr lang="en-US" sz="2400" b="0" baseline="0">
              <a:latin typeface="Bookman Old Style" panose="02050604050505020204" pitchFamily="18" charset="0"/>
            </a:rPr>
            <a:t> Insights</a:t>
          </a:r>
          <a:endParaRPr lang="en-US" sz="2400" b="0">
            <a:latin typeface="Bookman Old Style" panose="02050604050505020204" pitchFamily="18" charset="0"/>
          </a:endParaRPr>
        </a:p>
      </xdr:txBody>
    </xdr:sp>
    <xdr:clientData/>
  </xdr:twoCellAnchor>
  <xdr:twoCellAnchor>
    <xdr:from>
      <xdr:col>8</xdr:col>
      <xdr:colOff>70757</xdr:colOff>
      <xdr:row>20</xdr:row>
      <xdr:rowOff>152399</xdr:rowOff>
    </xdr:from>
    <xdr:to>
      <xdr:col>30</xdr:col>
      <xdr:colOff>274864</xdr:colOff>
      <xdr:row>38</xdr:row>
      <xdr:rowOff>81643</xdr:rowOff>
    </xdr:to>
    <xdr:sp macro="" textlink="">
      <xdr:nvSpPr>
        <xdr:cNvPr id="30" name="Rectangle 29">
          <a:extLst>
            <a:ext uri="{FF2B5EF4-FFF2-40B4-BE49-F238E27FC236}">
              <a16:creationId xmlns:a16="http://schemas.microsoft.com/office/drawing/2014/main" id="{319C4D74-CF57-4006-94A0-6073D3596F01}"/>
            </a:ext>
          </a:extLst>
        </xdr:cNvPr>
        <xdr:cNvSpPr/>
      </xdr:nvSpPr>
      <xdr:spPr>
        <a:xfrm>
          <a:off x="4969328" y="3962399"/>
          <a:ext cx="13675179" cy="3358244"/>
        </a:xfrm>
        <a:prstGeom prst="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84365</xdr:colOff>
      <xdr:row>20</xdr:row>
      <xdr:rowOff>152400</xdr:rowOff>
    </xdr:from>
    <xdr:to>
      <xdr:col>12</xdr:col>
      <xdr:colOff>571500</xdr:colOff>
      <xdr:row>23</xdr:row>
      <xdr:rowOff>81642</xdr:rowOff>
    </xdr:to>
    <xdr:sp macro="" textlink="">
      <xdr:nvSpPr>
        <xdr:cNvPr id="31" name="Rectangle: Single Corner Snipped 30">
          <a:extLst>
            <a:ext uri="{FF2B5EF4-FFF2-40B4-BE49-F238E27FC236}">
              <a16:creationId xmlns:a16="http://schemas.microsoft.com/office/drawing/2014/main" id="{CED9E2F5-D159-4CEB-99D8-8A47ECA45AAA}"/>
            </a:ext>
          </a:extLst>
        </xdr:cNvPr>
        <xdr:cNvSpPr/>
      </xdr:nvSpPr>
      <xdr:spPr>
        <a:xfrm>
          <a:off x="4982936" y="3962400"/>
          <a:ext cx="2936421" cy="500742"/>
        </a:xfrm>
        <a:prstGeom prst="snip1Rect">
          <a:avLst/>
        </a:prstGeom>
        <a:solidFill>
          <a:srgbClr val="F2AB9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0">
              <a:latin typeface="Bookman Old Style" panose="02050604050505020204" pitchFamily="18" charset="0"/>
            </a:rPr>
            <a:t>Recommendations</a:t>
          </a:r>
        </a:p>
      </xdr:txBody>
    </xdr:sp>
    <xdr:clientData/>
  </xdr:twoCellAnchor>
  <xdr:twoCellAnchor editAs="oneCell">
    <xdr:from>
      <xdr:col>28</xdr:col>
      <xdr:colOff>517071</xdr:colOff>
      <xdr:row>1</xdr:row>
      <xdr:rowOff>68035</xdr:rowOff>
    </xdr:from>
    <xdr:to>
      <xdr:col>30</xdr:col>
      <xdr:colOff>312965</xdr:colOff>
      <xdr:row>6</xdr:row>
      <xdr:rowOff>136072</xdr:rowOff>
    </xdr:to>
    <xdr:pic>
      <xdr:nvPicPr>
        <xdr:cNvPr id="32" name="Picture 31">
          <a:extLst>
            <a:ext uri="{FF2B5EF4-FFF2-40B4-BE49-F238E27FC236}">
              <a16:creationId xmlns:a16="http://schemas.microsoft.com/office/drawing/2014/main" id="{3F116295-510C-4C42-9926-91C996F594BE}"/>
            </a:ext>
          </a:extLst>
        </xdr:cNvPr>
        <xdr:cNvPicPr>
          <a:picLocks noChangeAspect="1"/>
        </xdr:cNvPicPr>
      </xdr:nvPicPr>
      <xdr:blipFill>
        <a:blip xmlns:r="http://schemas.openxmlformats.org/officeDocument/2006/relationships" r:embed="rId6"/>
        <a:stretch>
          <a:fillRect/>
        </a:stretch>
      </xdr:blipFill>
      <xdr:spPr>
        <a:xfrm>
          <a:off x="17662071" y="258535"/>
          <a:ext cx="1020537" cy="1020537"/>
        </a:xfrm>
        <a:prstGeom prst="rect">
          <a:avLst/>
        </a:prstGeom>
      </xdr:spPr>
    </xdr:pic>
    <xdr:clientData/>
  </xdr:twoCellAnchor>
  <xdr:twoCellAnchor editAs="oneCell">
    <xdr:from>
      <xdr:col>28</xdr:col>
      <xdr:colOff>500738</xdr:colOff>
      <xdr:row>20</xdr:row>
      <xdr:rowOff>95250</xdr:rowOff>
    </xdr:from>
    <xdr:to>
      <xdr:col>30</xdr:col>
      <xdr:colOff>214988</xdr:colOff>
      <xdr:row>25</xdr:row>
      <xdr:rowOff>81643</xdr:rowOff>
    </xdr:to>
    <xdr:pic>
      <xdr:nvPicPr>
        <xdr:cNvPr id="34" name="Picture 33">
          <a:extLst>
            <a:ext uri="{FF2B5EF4-FFF2-40B4-BE49-F238E27FC236}">
              <a16:creationId xmlns:a16="http://schemas.microsoft.com/office/drawing/2014/main" id="{87D37C82-8913-4684-4DBB-723D994E9BCC}"/>
            </a:ext>
          </a:extLst>
        </xdr:cNvPr>
        <xdr:cNvPicPr>
          <a:picLocks noChangeAspect="1"/>
        </xdr:cNvPicPr>
      </xdr:nvPicPr>
      <xdr:blipFill>
        <a:blip xmlns:r="http://schemas.openxmlformats.org/officeDocument/2006/relationships" r:embed="rId7"/>
        <a:stretch>
          <a:fillRect/>
        </a:stretch>
      </xdr:blipFill>
      <xdr:spPr>
        <a:xfrm flipH="1">
          <a:off x="17645738" y="3905250"/>
          <a:ext cx="938893" cy="938893"/>
        </a:xfrm>
        <a:prstGeom prst="rect">
          <a:avLst/>
        </a:prstGeom>
      </xdr:spPr>
    </xdr:pic>
    <xdr:clientData/>
  </xdr:twoCellAnchor>
  <xdr:twoCellAnchor>
    <xdr:from>
      <xdr:col>12</xdr:col>
      <xdr:colOff>312965</xdr:colOff>
      <xdr:row>3</xdr:row>
      <xdr:rowOff>136071</xdr:rowOff>
    </xdr:from>
    <xdr:to>
      <xdr:col>17</xdr:col>
      <xdr:colOff>190501</xdr:colOff>
      <xdr:row>9</xdr:row>
      <xdr:rowOff>0</xdr:rowOff>
    </xdr:to>
    <xdr:sp macro="" textlink="">
      <xdr:nvSpPr>
        <xdr:cNvPr id="35" name="Rectangle: Rounded Corners 34">
          <a:extLst>
            <a:ext uri="{FF2B5EF4-FFF2-40B4-BE49-F238E27FC236}">
              <a16:creationId xmlns:a16="http://schemas.microsoft.com/office/drawing/2014/main" id="{A61B7EE9-3C15-444C-A375-EF77BAD1FC43}"/>
            </a:ext>
          </a:extLst>
        </xdr:cNvPr>
        <xdr:cNvSpPr/>
      </xdr:nvSpPr>
      <xdr:spPr>
        <a:xfrm>
          <a:off x="7660822" y="707571"/>
          <a:ext cx="2939143" cy="1006929"/>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0">
              <a:solidFill>
                <a:schemeClr val="dk1"/>
              </a:solidFill>
              <a:latin typeface="Bookman Old Style" panose="02050604050505020204" pitchFamily="18" charset="0"/>
              <a:ea typeface="+mn-ea"/>
              <a:cs typeface="+mn-cs"/>
            </a:rPr>
            <a:t>Top</a:t>
          </a:r>
          <a:r>
            <a:rPr lang="en-US" sz="2000">
              <a:solidFill>
                <a:schemeClr val="tx1"/>
              </a:solidFill>
            </a:rPr>
            <a:t> </a:t>
          </a:r>
          <a:r>
            <a:rPr lang="en-US" sz="2000" b="1" i="0">
              <a:solidFill>
                <a:schemeClr val="dk1"/>
              </a:solidFill>
              <a:latin typeface="Bookman Old Style" panose="02050604050505020204" pitchFamily="18" charset="0"/>
              <a:ea typeface="+mn-ea"/>
              <a:cs typeface="+mn-cs"/>
            </a:rPr>
            <a:t>Agent</a:t>
          </a:r>
          <a:r>
            <a:rPr lang="en-US" sz="2000">
              <a:solidFill>
                <a:schemeClr val="tx1"/>
              </a:solidFill>
            </a:rPr>
            <a:t> </a:t>
          </a:r>
          <a:endParaRPr lang="LID4096" sz="2000" b="1" i="0">
            <a:solidFill>
              <a:schemeClr val="tx1"/>
            </a:solidFill>
            <a:latin typeface="Bookman Old Style" panose="02050604050505020204" pitchFamily="18" charset="0"/>
            <a:ea typeface="+mn-ea"/>
            <a:cs typeface="+mn-cs"/>
          </a:endParaRPr>
        </a:p>
      </xdr:txBody>
    </xdr:sp>
    <xdr:clientData/>
  </xdr:twoCellAnchor>
  <xdr:twoCellAnchor>
    <xdr:from>
      <xdr:col>21</xdr:col>
      <xdr:colOff>340179</xdr:colOff>
      <xdr:row>3</xdr:row>
      <xdr:rowOff>176894</xdr:rowOff>
    </xdr:from>
    <xdr:to>
      <xdr:col>26</xdr:col>
      <xdr:colOff>217715</xdr:colOff>
      <xdr:row>9</xdr:row>
      <xdr:rowOff>40823</xdr:rowOff>
    </xdr:to>
    <xdr:sp macro="" textlink="">
      <xdr:nvSpPr>
        <xdr:cNvPr id="36" name="Rectangle: Rounded Corners 35">
          <a:extLst>
            <a:ext uri="{FF2B5EF4-FFF2-40B4-BE49-F238E27FC236}">
              <a16:creationId xmlns:a16="http://schemas.microsoft.com/office/drawing/2014/main" id="{25A61141-343E-4DCD-8471-616280FA04E3}"/>
            </a:ext>
          </a:extLst>
        </xdr:cNvPr>
        <xdr:cNvSpPr/>
      </xdr:nvSpPr>
      <xdr:spPr>
        <a:xfrm>
          <a:off x="13198929" y="748394"/>
          <a:ext cx="2939143" cy="1006929"/>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2000" b="1" i="0">
              <a:solidFill>
                <a:schemeClr val="dk1"/>
              </a:solidFill>
              <a:latin typeface="Bookman Old Style" panose="02050604050505020204" pitchFamily="18" charset="0"/>
              <a:ea typeface="+mn-ea"/>
              <a:cs typeface="+mn-cs"/>
            </a:rPr>
            <a:t>Top Topic</a:t>
          </a:r>
          <a:endParaRPr lang="LID4096" sz="2000" b="1" i="0">
            <a:solidFill>
              <a:schemeClr val="dk1"/>
            </a:solidFill>
            <a:latin typeface="Bookman Old Style" panose="02050604050505020204" pitchFamily="18" charset="0"/>
            <a:ea typeface="+mn-ea"/>
            <a:cs typeface="+mn-cs"/>
          </a:endParaRPr>
        </a:p>
      </xdr:txBody>
    </xdr:sp>
    <xdr:clientData/>
  </xdr:twoCellAnchor>
  <xdr:twoCellAnchor>
    <xdr:from>
      <xdr:col>24</xdr:col>
      <xdr:colOff>547009</xdr:colOff>
      <xdr:row>10</xdr:row>
      <xdr:rowOff>179615</xdr:rowOff>
    </xdr:from>
    <xdr:to>
      <xdr:col>29</xdr:col>
      <xdr:colOff>424545</xdr:colOff>
      <xdr:row>16</xdr:row>
      <xdr:rowOff>43544</xdr:rowOff>
    </xdr:to>
    <xdr:sp macro="" textlink="">
      <xdr:nvSpPr>
        <xdr:cNvPr id="37" name="Rectangle: Rounded Corners 36">
          <a:extLst>
            <a:ext uri="{FF2B5EF4-FFF2-40B4-BE49-F238E27FC236}">
              <a16:creationId xmlns:a16="http://schemas.microsoft.com/office/drawing/2014/main" id="{F454E3B1-A73F-4C76-8860-B3E24CB249F3}"/>
            </a:ext>
          </a:extLst>
        </xdr:cNvPr>
        <xdr:cNvSpPr/>
      </xdr:nvSpPr>
      <xdr:spPr>
        <a:xfrm>
          <a:off x="15242723" y="2084615"/>
          <a:ext cx="2939143" cy="1006929"/>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0">
              <a:solidFill>
                <a:schemeClr val="dk1"/>
              </a:solidFill>
              <a:latin typeface="Bookman Old Style" panose="02050604050505020204" pitchFamily="18" charset="0"/>
              <a:ea typeface="+mn-ea"/>
              <a:cs typeface="+mn-cs"/>
            </a:rPr>
            <a:t>Total</a:t>
          </a:r>
          <a:r>
            <a:rPr lang="en-US" sz="1800" i="0" baseline="0">
              <a:solidFill>
                <a:schemeClr val="tx1"/>
              </a:solidFill>
            </a:rPr>
            <a:t> </a:t>
          </a:r>
          <a:r>
            <a:rPr lang="en-US" sz="2000" b="1" i="0">
              <a:solidFill>
                <a:schemeClr val="dk1"/>
              </a:solidFill>
              <a:latin typeface="Bookman Old Style" panose="02050604050505020204" pitchFamily="18" charset="0"/>
              <a:ea typeface="+mn-ea"/>
              <a:cs typeface="+mn-cs"/>
            </a:rPr>
            <a:t>calls</a:t>
          </a:r>
          <a:endParaRPr lang="LID4096" sz="2000" b="1" i="0">
            <a:solidFill>
              <a:schemeClr val="dk1"/>
            </a:solidFill>
            <a:latin typeface="Bookman Old Style" panose="02050604050505020204" pitchFamily="18" charset="0"/>
            <a:ea typeface="+mn-ea"/>
            <a:cs typeface="+mn-cs"/>
          </a:endParaRPr>
        </a:p>
      </xdr:txBody>
    </xdr:sp>
    <xdr:clientData/>
  </xdr:twoCellAnchor>
  <xdr:twoCellAnchor>
    <xdr:from>
      <xdr:col>19</xdr:col>
      <xdr:colOff>263980</xdr:colOff>
      <xdr:row>10</xdr:row>
      <xdr:rowOff>182337</xdr:rowOff>
    </xdr:from>
    <xdr:to>
      <xdr:col>24</xdr:col>
      <xdr:colOff>141516</xdr:colOff>
      <xdr:row>16</xdr:row>
      <xdr:rowOff>46266</xdr:rowOff>
    </xdr:to>
    <xdr:sp macro="" textlink="">
      <xdr:nvSpPr>
        <xdr:cNvPr id="38" name="Rectangle: Rounded Corners 37">
          <a:extLst>
            <a:ext uri="{FF2B5EF4-FFF2-40B4-BE49-F238E27FC236}">
              <a16:creationId xmlns:a16="http://schemas.microsoft.com/office/drawing/2014/main" id="{3A0A8DB7-3102-4BD5-A9E6-8F92A679DA8D}"/>
            </a:ext>
          </a:extLst>
        </xdr:cNvPr>
        <xdr:cNvSpPr/>
      </xdr:nvSpPr>
      <xdr:spPr>
        <a:xfrm>
          <a:off x="11898087" y="2087337"/>
          <a:ext cx="2939143" cy="1006929"/>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0">
              <a:solidFill>
                <a:schemeClr val="dk1"/>
              </a:solidFill>
              <a:latin typeface="Bookman Old Style" panose="02050604050505020204" pitchFamily="18" charset="0"/>
              <a:ea typeface="+mn-ea"/>
              <a:cs typeface="+mn-cs"/>
            </a:rPr>
            <a:t>Busiest</a:t>
          </a:r>
          <a:r>
            <a:rPr lang="en-US" sz="2000"/>
            <a:t> </a:t>
          </a:r>
          <a:r>
            <a:rPr lang="en-US" sz="2000" b="1" i="0">
              <a:solidFill>
                <a:schemeClr val="dk1"/>
              </a:solidFill>
              <a:latin typeface="Bookman Old Style" panose="02050604050505020204" pitchFamily="18" charset="0"/>
              <a:ea typeface="+mn-ea"/>
              <a:cs typeface="+mn-cs"/>
            </a:rPr>
            <a:t>Day</a:t>
          </a:r>
          <a:r>
            <a:rPr lang="en-US" sz="2000"/>
            <a:t> </a:t>
          </a:r>
          <a:endParaRPr lang="LID4096" sz="2000" b="1" i="0">
            <a:solidFill>
              <a:schemeClr val="dk1"/>
            </a:solidFill>
            <a:latin typeface="Bookman Old Style" panose="02050604050505020204" pitchFamily="18" charset="0"/>
            <a:ea typeface="+mn-ea"/>
            <a:cs typeface="+mn-cs"/>
          </a:endParaRPr>
        </a:p>
      </xdr:txBody>
    </xdr:sp>
    <xdr:clientData/>
  </xdr:twoCellAnchor>
  <xdr:twoCellAnchor>
    <xdr:from>
      <xdr:col>14</xdr:col>
      <xdr:colOff>8167</xdr:colOff>
      <xdr:row>10</xdr:row>
      <xdr:rowOff>157845</xdr:rowOff>
    </xdr:from>
    <xdr:to>
      <xdr:col>18</xdr:col>
      <xdr:colOff>498024</xdr:colOff>
      <xdr:row>16</xdr:row>
      <xdr:rowOff>21774</xdr:rowOff>
    </xdr:to>
    <xdr:sp macro="" textlink="">
      <xdr:nvSpPr>
        <xdr:cNvPr id="39" name="Rectangle: Rounded Corners 38">
          <a:extLst>
            <a:ext uri="{FF2B5EF4-FFF2-40B4-BE49-F238E27FC236}">
              <a16:creationId xmlns:a16="http://schemas.microsoft.com/office/drawing/2014/main" id="{8D60028E-754E-4F71-AB66-3D559335A1F7}"/>
            </a:ext>
          </a:extLst>
        </xdr:cNvPr>
        <xdr:cNvSpPr/>
      </xdr:nvSpPr>
      <xdr:spPr>
        <a:xfrm>
          <a:off x="8580667" y="2062845"/>
          <a:ext cx="2939143" cy="1006929"/>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0">
              <a:solidFill>
                <a:schemeClr val="dk1"/>
              </a:solidFill>
              <a:latin typeface="Bookman Old Style" panose="02050604050505020204" pitchFamily="18" charset="0"/>
              <a:ea typeface="+mn-ea"/>
              <a:cs typeface="+mn-cs"/>
            </a:rPr>
            <a:t>Satisfaction</a:t>
          </a:r>
          <a:endParaRPr lang="LID4096" sz="2000" b="1" i="0">
            <a:solidFill>
              <a:schemeClr val="dk1"/>
            </a:solidFill>
            <a:latin typeface="Bookman Old Style" panose="02050604050505020204" pitchFamily="18" charset="0"/>
            <a:ea typeface="+mn-ea"/>
            <a:cs typeface="+mn-cs"/>
          </a:endParaRPr>
        </a:p>
      </xdr:txBody>
    </xdr:sp>
    <xdr:clientData/>
  </xdr:twoCellAnchor>
  <xdr:twoCellAnchor>
    <xdr:from>
      <xdr:col>8</xdr:col>
      <xdr:colOff>283031</xdr:colOff>
      <xdr:row>10</xdr:row>
      <xdr:rowOff>187781</xdr:rowOff>
    </xdr:from>
    <xdr:to>
      <xdr:col>13</xdr:col>
      <xdr:colOff>160566</xdr:colOff>
      <xdr:row>16</xdr:row>
      <xdr:rowOff>51710</xdr:rowOff>
    </xdr:to>
    <xdr:sp macro="" textlink="">
      <xdr:nvSpPr>
        <xdr:cNvPr id="40" name="Rectangle: Rounded Corners 39">
          <a:extLst>
            <a:ext uri="{FF2B5EF4-FFF2-40B4-BE49-F238E27FC236}">
              <a16:creationId xmlns:a16="http://schemas.microsoft.com/office/drawing/2014/main" id="{984CAC6C-A5A7-4AB1-AB0A-27263E349740}"/>
            </a:ext>
          </a:extLst>
        </xdr:cNvPr>
        <xdr:cNvSpPr/>
      </xdr:nvSpPr>
      <xdr:spPr>
        <a:xfrm>
          <a:off x="5181602" y="2092781"/>
          <a:ext cx="2939143" cy="1006929"/>
        </a:xfrm>
        <a:prstGeom prst="roundRect">
          <a:avLst/>
        </a:prstGeom>
        <a:solidFill>
          <a:schemeClr val="bg1"/>
        </a:solidFill>
        <a:ln w="28575">
          <a:solidFill>
            <a:schemeClr val="bg1">
              <a:lumMod val="65000"/>
            </a:schemeClr>
          </a:solidFill>
        </a:ln>
        <a:effectLst>
          <a:glow rad="63500">
            <a:schemeClr val="tx1">
              <a:lumMod val="65000"/>
              <a:lumOff val="3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0">
              <a:solidFill>
                <a:schemeClr val="dk1"/>
              </a:solidFill>
              <a:latin typeface="Bookman Old Style" panose="02050604050505020204" pitchFamily="18" charset="0"/>
              <a:ea typeface="+mn-ea"/>
              <a:cs typeface="+mn-cs"/>
            </a:rPr>
            <a:t>Resolution</a:t>
          </a:r>
          <a:r>
            <a:rPr lang="en-US" sz="2000"/>
            <a:t> </a:t>
          </a:r>
          <a:r>
            <a:rPr lang="en-US" sz="2000" b="1" i="0">
              <a:solidFill>
                <a:schemeClr val="dk1"/>
              </a:solidFill>
              <a:latin typeface="Bookman Old Style" panose="02050604050505020204" pitchFamily="18" charset="0"/>
              <a:ea typeface="+mn-ea"/>
              <a:cs typeface="+mn-cs"/>
            </a:rPr>
            <a:t>Rate</a:t>
          </a:r>
          <a:endParaRPr lang="LID4096" sz="2000" b="1" i="0">
            <a:solidFill>
              <a:schemeClr val="dk1"/>
            </a:solidFill>
            <a:latin typeface="Bookman Old Style" panose="02050604050505020204" pitchFamily="18" charset="0"/>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4.003072222222" backgroundQuery="1" createdVersion="8" refreshedVersion="8" minRefreshableVersion="3" recordCount="0" supportSubquery="1" supportAdvancedDrill="1" xr:uid="{C7E1FE45-FA8A-4772-8233-12DD656153F1}">
  <cacheSource type="external" connectionId="3"/>
  <cacheFields count="2">
    <cacheField name="[Measures].[total calls]" caption="total calls" numFmtId="0" hierarchy="15" level="32767"/>
    <cacheField name="[pwc callcenter].[Topic].[Topic]" caption="Topic" numFmtId="0" hierarchy="9" level="1">
      <sharedItems containsSemiMixedTypes="0" containsNonDate="0" containsString="0"/>
    </cacheField>
  </cacheFields>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ate].[Month Name]" caption="Month Name" attribute="1" defaultMemberUniqueName="[date].[Month Name].[All]" allUniqueName="[date].[Month Name].[All]" dimensionUniqueName="[date]" displayFolder="" count="0" memberValueDatatype="130" unbalanced="0"/>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fieldsUsage count="2">
        <fieldUsage x="-1"/>
        <fieldUsage x="1"/>
      </fieldsUsage>
    </cacheHierarchy>
    <cacheHierarchy uniqueName="[pwc callcenter].[Answered (Y/N)]" caption="Answered (Y/N)" attribute="1" defaultMemberUniqueName="[pwc callcenter].[Answered (Y/N)].[All]" allUniqueName="[pwc callcenter].[Answered (Y/N)].[All]" dimensionUniqueName="[pwc callcenter]" displayFolder="" count="0" memberValueDatatype="130" unbalanced="0"/>
    <cacheHierarchy uniqueName="[pwc callcenter].[Resolved]" caption="Resolved" attribute="1" defaultMemberUniqueName="[pwc callcenter].[Resolved].[All]" allUniqueName="[pwc callcenter].[Resolved].[All]" dimensionUniqueName="[pwc callcenter]" displayFolder="" count="0" memberValueDatatype="130" unbalanced="0"/>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oneField="1">
      <fieldsUsage count="1">
        <fieldUsage x="0"/>
      </fieldsUsage>
    </cacheHierarchy>
    <cacheHierarchy uniqueName="[Measures].[nom of egent]" caption="nom of egent" measure="1" displayFolder="" measureGroup="date" count="0"/>
    <cacheHierarchy uniqueName="[Measures].[total duration]" caption="total duration" measure="1" displayFolder="" measureGroup="date" count="0"/>
    <cacheHierarchy uniqueName="[Measures].[avg handling time ]" caption="avg handling time " measure="1" displayFolder="" measureGroup="date" count="0"/>
    <cacheHierarchy uniqueName="[Measures].[avg satisfaction rating ]" caption="avg satisfaction rating " measure="1" displayFolder="" measureGroup="date" count="0"/>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dimensions count="3">
    <dimension name="date" uniqueName="[date]" caption="date"/>
    <dimension measure="1" name="Measures" uniqueName="[Measures]" caption="Measures"/>
    <dimension name="pwc callcenter" uniqueName="[pwc callcenter]" caption="pwc callcenter"/>
  </dimensions>
  <measureGroups count="2">
    <measureGroup name="date" caption="date"/>
    <measureGroup name="pwc callcenter" caption="pwc callcenter"/>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4.003072222222" backgroundQuery="1" createdVersion="8" refreshedVersion="8" minRefreshableVersion="3" recordCount="0" supportSubquery="1" supportAdvancedDrill="1" xr:uid="{7FB0A399-B475-45F5-8E80-4B500C4D4A18}">
  <cacheSource type="external" connectionId="3"/>
  <cacheFields count="2">
    <cacheField name="[Measures].[avg satisfaction rating ]" caption="avg satisfaction rating " numFmtId="0" hierarchy="19" level="32767"/>
    <cacheField name="[pwc callcenter].[Topic].[Topic]" caption="Topic" numFmtId="0" hierarchy="9" level="1">
      <sharedItems containsSemiMixedTypes="0" containsNonDate="0" containsString="0"/>
    </cacheField>
  </cacheFields>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ate].[Month Name]" caption="Month Name" attribute="1" defaultMemberUniqueName="[date].[Month Name].[All]" allUniqueName="[date].[Month Name].[All]" dimensionUniqueName="[date]" displayFolder="" count="0" memberValueDatatype="130" unbalanced="0"/>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fieldsUsage count="2">
        <fieldUsage x="-1"/>
        <fieldUsage x="1"/>
      </fieldsUsage>
    </cacheHierarchy>
    <cacheHierarchy uniqueName="[pwc callcenter].[Answered (Y/N)]" caption="Answered (Y/N)" attribute="1" defaultMemberUniqueName="[pwc callcenter].[Answered (Y/N)].[All]" allUniqueName="[pwc callcenter].[Answered (Y/N)].[All]" dimensionUniqueName="[pwc callcenter]" displayFolder="" count="0" memberValueDatatype="130" unbalanced="0"/>
    <cacheHierarchy uniqueName="[pwc callcenter].[Resolved]" caption="Resolved" attribute="1" defaultMemberUniqueName="[pwc callcenter].[Resolved].[All]" allUniqueName="[pwc callcenter].[Resolved].[All]" dimensionUniqueName="[pwc callcenter]" displayFolder="" count="0" memberValueDatatype="130" unbalanced="0"/>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cacheHierarchy uniqueName="[Measures].[nom of egent]" caption="nom of egent" measure="1" displayFolder="" measureGroup="date" count="0"/>
    <cacheHierarchy uniqueName="[Measures].[total duration]" caption="total duration" measure="1" displayFolder="" measureGroup="date" count="0"/>
    <cacheHierarchy uniqueName="[Measures].[avg handling time ]" caption="avg handling time " measure="1" displayFolder="" measureGroup="date" count="0"/>
    <cacheHierarchy uniqueName="[Measures].[avg satisfaction rating ]" caption="avg satisfaction rating " measure="1" displayFolder="" measureGroup="date" count="0" oneField="1">
      <fieldsUsage count="1">
        <fieldUsage x="0"/>
      </fieldsUsage>
    </cacheHierarchy>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dimensions count="3">
    <dimension name="date" uniqueName="[date]" caption="date"/>
    <dimension measure="1" name="Measures" uniqueName="[Measures]" caption="Measures"/>
    <dimension name="pwc callcenter" uniqueName="[pwc callcenter]" caption="pwc callcenter"/>
  </dimensions>
  <measureGroups count="2">
    <measureGroup name="date" caption="date"/>
    <measureGroup name="pwc callcenter" caption="pwc callcenter"/>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4.003072569445" backgroundQuery="1" createdVersion="8" refreshedVersion="8" minRefreshableVersion="3" recordCount="0" supportSubquery="1" supportAdvancedDrill="1" xr:uid="{4BF33C05-63CA-46F7-A404-D109C704647A}">
  <cacheSource type="external" connectionId="3"/>
  <cacheFields count="2">
    <cacheField name="[Measures].[nom of egent]" caption="nom of egent" numFmtId="0" hierarchy="16" level="32767"/>
    <cacheField name="[pwc callcenter].[Topic].[Topic]" caption="Topic" numFmtId="0" hierarchy="9" level="1">
      <sharedItems containsSemiMixedTypes="0" containsNonDate="0" containsString="0"/>
    </cacheField>
  </cacheFields>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ate].[Month Name]" caption="Month Name" attribute="1" defaultMemberUniqueName="[date].[Month Name].[All]" allUniqueName="[date].[Month Name].[All]" dimensionUniqueName="[date]" displayFolder="" count="0" memberValueDatatype="130" unbalanced="0"/>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fieldsUsage count="2">
        <fieldUsage x="-1"/>
        <fieldUsage x="1"/>
      </fieldsUsage>
    </cacheHierarchy>
    <cacheHierarchy uniqueName="[pwc callcenter].[Answered (Y/N)]" caption="Answered (Y/N)" attribute="1" defaultMemberUniqueName="[pwc callcenter].[Answered (Y/N)].[All]" allUniqueName="[pwc callcenter].[Answered (Y/N)].[All]" dimensionUniqueName="[pwc callcenter]" displayFolder="" count="0" memberValueDatatype="130" unbalanced="0"/>
    <cacheHierarchy uniqueName="[pwc callcenter].[Resolved]" caption="Resolved" attribute="1" defaultMemberUniqueName="[pwc callcenter].[Resolved].[All]" allUniqueName="[pwc callcenter].[Resolved].[All]" dimensionUniqueName="[pwc callcenter]" displayFolder="" count="0" memberValueDatatype="130" unbalanced="0"/>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cacheHierarchy uniqueName="[Measures].[nom of egent]" caption="nom of egent" measure="1" displayFolder="" measureGroup="date" count="0" oneField="1">
      <fieldsUsage count="1">
        <fieldUsage x="0"/>
      </fieldsUsage>
    </cacheHierarchy>
    <cacheHierarchy uniqueName="[Measures].[total duration]" caption="total duration" measure="1" displayFolder="" measureGroup="date" count="0"/>
    <cacheHierarchy uniqueName="[Measures].[avg handling time ]" caption="avg handling time " measure="1" displayFolder="" measureGroup="date" count="0"/>
    <cacheHierarchy uniqueName="[Measures].[avg satisfaction rating ]" caption="avg satisfaction rating " measure="1" displayFolder="" measureGroup="date" count="0"/>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dimensions count="3">
    <dimension name="date" uniqueName="[date]" caption="date"/>
    <dimension measure="1" name="Measures" uniqueName="[Measures]" caption="Measures"/>
    <dimension name="pwc callcenter" uniqueName="[pwc callcenter]" caption="pwc callcenter"/>
  </dimensions>
  <measureGroups count="2">
    <measureGroup name="date" caption="date"/>
    <measureGroup name="pwc callcenter" caption="pwc callcenter"/>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4.003072569445" backgroundQuery="1" createdVersion="8" refreshedVersion="8" minRefreshableVersion="3" recordCount="0" supportSubquery="1" supportAdvancedDrill="1" xr:uid="{8F23A9EF-AFBB-46B3-87D5-F529E672C223}">
  <cacheSource type="external" connectionId="3"/>
  <cacheFields count="2">
    <cacheField name="[Measures].[total duration]" caption="total duration" numFmtId="0" hierarchy="17" level="32767"/>
    <cacheField name="[pwc callcenter].[Topic].[Topic]" caption="Topic" numFmtId="0" hierarchy="9" level="1">
      <sharedItems containsSemiMixedTypes="0" containsNonDate="0" containsString="0"/>
    </cacheField>
  </cacheFields>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ate].[Month Name]" caption="Month Name" attribute="1" defaultMemberUniqueName="[date].[Month Name].[All]" allUniqueName="[date].[Month Name].[All]" dimensionUniqueName="[date]" displayFolder="" count="0" memberValueDatatype="130" unbalanced="0"/>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fieldsUsage count="2">
        <fieldUsage x="-1"/>
        <fieldUsage x="1"/>
      </fieldsUsage>
    </cacheHierarchy>
    <cacheHierarchy uniqueName="[pwc callcenter].[Answered (Y/N)]" caption="Answered (Y/N)" attribute="1" defaultMemberUniqueName="[pwc callcenter].[Answered (Y/N)].[All]" allUniqueName="[pwc callcenter].[Answered (Y/N)].[All]" dimensionUniqueName="[pwc callcenter]" displayFolder="" count="0" memberValueDatatype="130" unbalanced="0"/>
    <cacheHierarchy uniqueName="[pwc callcenter].[Resolved]" caption="Resolved" attribute="1" defaultMemberUniqueName="[pwc callcenter].[Resolved].[All]" allUniqueName="[pwc callcenter].[Resolved].[All]" dimensionUniqueName="[pwc callcenter]" displayFolder="" count="0" memberValueDatatype="130" unbalanced="0"/>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cacheHierarchy uniqueName="[Measures].[nom of egent]" caption="nom of egent" measure="1" displayFolder="" measureGroup="date" count="0"/>
    <cacheHierarchy uniqueName="[Measures].[total duration]" caption="total duration" measure="1" displayFolder="" measureGroup="date" count="0" oneField="1">
      <fieldsUsage count="1">
        <fieldUsage x="0"/>
      </fieldsUsage>
    </cacheHierarchy>
    <cacheHierarchy uniqueName="[Measures].[avg handling time ]" caption="avg handling time " measure="1" displayFolder="" measureGroup="date" count="0"/>
    <cacheHierarchy uniqueName="[Measures].[avg satisfaction rating ]" caption="avg satisfaction rating " measure="1" displayFolder="" measureGroup="date" count="0"/>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dimensions count="3">
    <dimension name="date" uniqueName="[date]" caption="date"/>
    <dimension measure="1" name="Measures" uniqueName="[Measures]" caption="Measures"/>
    <dimension name="pwc callcenter" uniqueName="[pwc callcenter]" caption="pwc callcenter"/>
  </dimensions>
  <measureGroups count="2">
    <measureGroup name="date" caption="date"/>
    <measureGroup name="pwc callcenter" caption="pwc callcenter"/>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4.003072800922" backgroundQuery="1" createdVersion="8" refreshedVersion="8" minRefreshableVersion="3" recordCount="0" supportSubquery="1" supportAdvancedDrill="1" xr:uid="{13780F3C-A80C-46C0-913D-28DD3DEDA187}">
  <cacheSource type="external" connectionId="3"/>
  <cacheFields count="2">
    <cacheField name="[Measures].[avg handling time ]" caption="avg handling time " numFmtId="0" hierarchy="18" level="32767"/>
    <cacheField name="[pwc callcenter].[Topic].[Topic]" caption="Topic" numFmtId="0" hierarchy="9" level="1">
      <sharedItems containsSemiMixedTypes="0" containsNonDate="0" containsString="0"/>
    </cacheField>
  </cacheFields>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ate].[Month Name]" caption="Month Name" attribute="1" defaultMemberUniqueName="[date].[Month Name].[All]" allUniqueName="[date].[Month Name].[All]" dimensionUniqueName="[date]" displayFolder="" count="0" memberValueDatatype="130" unbalanced="0"/>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fieldsUsage count="2">
        <fieldUsage x="-1"/>
        <fieldUsage x="1"/>
      </fieldsUsage>
    </cacheHierarchy>
    <cacheHierarchy uniqueName="[pwc callcenter].[Answered (Y/N)]" caption="Answered (Y/N)" attribute="1" defaultMemberUniqueName="[pwc callcenter].[Answered (Y/N)].[All]" allUniqueName="[pwc callcenter].[Answered (Y/N)].[All]" dimensionUniqueName="[pwc callcenter]" displayFolder="" count="0" memberValueDatatype="130" unbalanced="0"/>
    <cacheHierarchy uniqueName="[pwc callcenter].[Resolved]" caption="Resolved" attribute="1" defaultMemberUniqueName="[pwc callcenter].[Resolved].[All]" allUniqueName="[pwc callcenter].[Resolved].[All]" dimensionUniqueName="[pwc callcenter]" displayFolder="" count="0" memberValueDatatype="130" unbalanced="0"/>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cacheHierarchy uniqueName="[Measures].[nom of egent]" caption="nom of egent" measure="1" displayFolder="" measureGroup="date" count="0"/>
    <cacheHierarchy uniqueName="[Measures].[total duration]" caption="total duration" measure="1" displayFolder="" measureGroup="date" count="0"/>
    <cacheHierarchy uniqueName="[Measures].[avg handling time ]" caption="avg handling time " measure="1" displayFolder="" measureGroup="date" count="0" oneField="1">
      <fieldsUsage count="1">
        <fieldUsage x="0"/>
      </fieldsUsage>
    </cacheHierarchy>
    <cacheHierarchy uniqueName="[Measures].[avg satisfaction rating ]" caption="avg satisfaction rating " measure="1" displayFolder="" measureGroup="date" count="0"/>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dimensions count="3">
    <dimension name="date" uniqueName="[date]" caption="date"/>
    <dimension measure="1" name="Measures" uniqueName="[Measures]" caption="Measures"/>
    <dimension name="pwc callcenter" uniqueName="[pwc callcenter]" caption="pwc callcenter"/>
  </dimensions>
  <measureGroups count="2">
    <measureGroup name="date" caption="date"/>
    <measureGroup name="pwc callcenter" caption="pwc callcenter"/>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4.003073148146" backgroundQuery="1" createdVersion="8" refreshedVersion="8" minRefreshableVersion="3" recordCount="0" supportSubquery="1" supportAdvancedDrill="1" xr:uid="{4A772D00-A5BA-4637-9D6D-E833D0379030}">
  <cacheSource type="external" connectionId="3"/>
  <cacheFields count="2">
    <cacheField name="[Measures].[avg satisfaction rating ]" caption="avg satisfaction rating " numFmtId="0" hierarchy="19" level="32767"/>
    <cacheField name="[pwc callcenter].[Topic].[Topic]" caption="Topic" numFmtId="0" hierarchy="9" level="1">
      <sharedItems containsSemiMixedTypes="0" containsNonDate="0" containsString="0"/>
    </cacheField>
  </cacheFields>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ate].[Month Name]" caption="Month Name" attribute="1" defaultMemberUniqueName="[date].[Month Name].[All]" allUniqueName="[date].[Month Name].[All]" dimensionUniqueName="[date]" displayFolder="" count="0" memberValueDatatype="130" unbalanced="0"/>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fieldsUsage count="2">
        <fieldUsage x="-1"/>
        <fieldUsage x="1"/>
      </fieldsUsage>
    </cacheHierarchy>
    <cacheHierarchy uniqueName="[pwc callcenter].[Answered (Y/N)]" caption="Answered (Y/N)" attribute="1" defaultMemberUniqueName="[pwc callcenter].[Answered (Y/N)].[All]" allUniqueName="[pwc callcenter].[Answered (Y/N)].[All]" dimensionUniqueName="[pwc callcenter]" displayFolder="" count="0" memberValueDatatype="130" unbalanced="0"/>
    <cacheHierarchy uniqueName="[pwc callcenter].[Resolved]" caption="Resolved" attribute="1" defaultMemberUniqueName="[pwc callcenter].[Resolved].[All]" allUniqueName="[pwc callcenter].[Resolved].[All]" dimensionUniqueName="[pwc callcenter]" displayFolder="" count="0" memberValueDatatype="130" unbalanced="0"/>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cacheHierarchy uniqueName="[Measures].[nom of egent]" caption="nom of egent" measure="1" displayFolder="" measureGroup="date" count="0"/>
    <cacheHierarchy uniqueName="[Measures].[total duration]" caption="total duration" measure="1" displayFolder="" measureGroup="date" count="0"/>
    <cacheHierarchy uniqueName="[Measures].[avg handling time ]" caption="avg handling time " measure="1" displayFolder="" measureGroup="date" count="0"/>
    <cacheHierarchy uniqueName="[Measures].[avg satisfaction rating ]" caption="avg satisfaction rating " measure="1" displayFolder="" measureGroup="date" count="0" oneField="1">
      <fieldsUsage count="1">
        <fieldUsage x="0"/>
      </fieldsUsage>
    </cacheHierarchy>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dimensions count="3">
    <dimension name="date" uniqueName="[date]" caption="date"/>
    <dimension measure="1" name="Measures" uniqueName="[Measures]" caption="Measures"/>
    <dimension name="pwc callcenter" uniqueName="[pwc callcenter]" caption="pwc callcenter"/>
  </dimensions>
  <measureGroups count="2">
    <measureGroup name="date" caption="date"/>
    <measureGroup name="pwc callcenter" caption="pwc callcenter"/>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4.003073726853" backgroundQuery="1" createdVersion="8" refreshedVersion="8" minRefreshableVersion="3" recordCount="0" supportSubquery="1" supportAdvancedDrill="1" xr:uid="{CBF8E52A-1202-40C1-9B1A-77E77F3E5254}">
  <cacheSource type="external" connectionId="3"/>
  <cacheFields count="3">
    <cacheField name="[Measures].[total calls]" caption="total calls" numFmtId="0" hierarchy="15" level="32767"/>
    <cacheField name="[pwc callcenter].[Agent].[Agent]" caption="Agent" numFmtId="0" hierarchy="6" level="1">
      <sharedItems count="8">
        <s v="Becky"/>
        <s v="Dan"/>
        <s v="Diane"/>
        <s v="Greg"/>
        <s v="Jim"/>
        <s v="Joe"/>
        <s v="Martha"/>
        <s v="Stewart"/>
      </sharedItems>
    </cacheField>
    <cacheField name="[pwc callcenter].[Topic].[Topic]" caption="Topic" numFmtId="0" hierarchy="9" level="1">
      <sharedItems containsSemiMixedTypes="0" containsNonDate="0" containsString="0"/>
    </cacheField>
  </cacheFields>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ate].[Month Name]" caption="Month Name" attribute="1" defaultMemberUniqueName="[date].[Month Name].[All]" allUniqueName="[date].[Month Name].[All]" dimensionUniqueName="[date]" displayFolder="" count="0" memberValueDatatype="130" unbalanced="0"/>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fieldsUsage count="2">
        <fieldUsage x="-1"/>
        <fieldUsage x="1"/>
      </fieldsUsage>
    </cacheHierarchy>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fieldsUsage count="2">
        <fieldUsage x="-1"/>
        <fieldUsage x="2"/>
      </fieldsUsage>
    </cacheHierarchy>
    <cacheHierarchy uniqueName="[pwc callcenter].[Answered (Y/N)]" caption="Answered (Y/N)" attribute="1" defaultMemberUniqueName="[pwc callcenter].[Answered (Y/N)].[All]" allUniqueName="[pwc callcenter].[Answered (Y/N)].[All]" dimensionUniqueName="[pwc callcenter]" displayFolder="" count="0" memberValueDatatype="130" unbalanced="0"/>
    <cacheHierarchy uniqueName="[pwc callcenter].[Resolved]" caption="Resolved" attribute="1" defaultMemberUniqueName="[pwc callcenter].[Resolved].[All]" allUniqueName="[pwc callcenter].[Resolved].[All]" dimensionUniqueName="[pwc callcenter]" displayFolder="" count="0" memberValueDatatype="130" unbalanced="0"/>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oneField="1">
      <fieldsUsage count="1">
        <fieldUsage x="0"/>
      </fieldsUsage>
    </cacheHierarchy>
    <cacheHierarchy uniqueName="[Measures].[nom of egent]" caption="nom of egent" measure="1" displayFolder="" measureGroup="date" count="0"/>
    <cacheHierarchy uniqueName="[Measures].[total duration]" caption="total duration" measure="1" displayFolder="" measureGroup="date" count="0"/>
    <cacheHierarchy uniqueName="[Measures].[avg handling time ]" caption="avg handling time " measure="1" displayFolder="" measureGroup="date" count="0"/>
    <cacheHierarchy uniqueName="[Measures].[avg satisfaction rating ]" caption="avg satisfaction rating " measure="1" displayFolder="" measureGroup="date" count="0"/>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dimensions count="3">
    <dimension name="date" uniqueName="[date]" caption="date"/>
    <dimension measure="1" name="Measures" uniqueName="[Measures]" caption="Measures"/>
    <dimension name="pwc callcenter" uniqueName="[pwc callcenter]" caption="pwc callcenter"/>
  </dimensions>
  <measureGroups count="2">
    <measureGroup name="date" caption="date"/>
    <measureGroup name="pwc callcenter" caption="pwc callcenter"/>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4.003074305554" backgroundQuery="1" createdVersion="8" refreshedVersion="8" minRefreshableVersion="3" recordCount="0" supportSubquery="1" supportAdvancedDrill="1" xr:uid="{E84E3E2D-AEB3-443C-B3DE-261AA25FD9F4}">
  <cacheSource type="external" connectionId="3"/>
  <cacheFields count="3">
    <cacheField name="[Measures].[avg handling time ]" caption="avg handling time " numFmtId="0" hierarchy="18" level="32767"/>
    <cacheField name="[pwc callcenter].[Agent].[Agent]" caption="Agent" numFmtId="0" hierarchy="6" level="1">
      <sharedItems count="8">
        <s v="Becky"/>
        <s v="Dan"/>
        <s v="Diane"/>
        <s v="Greg"/>
        <s v="Jim"/>
        <s v="Joe"/>
        <s v="Martha"/>
        <s v="Stewart"/>
      </sharedItems>
    </cacheField>
    <cacheField name="[pwc callcenter].[Topic].[Topic]" caption="Topic" numFmtId="0" hierarchy="9" level="1">
      <sharedItems containsSemiMixedTypes="0" containsNonDate="0" containsString="0"/>
    </cacheField>
  </cacheFields>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ate].[Month Name]" caption="Month Name" attribute="1" defaultMemberUniqueName="[date].[Month Name].[All]" allUniqueName="[date].[Month Name].[All]" dimensionUniqueName="[date]" displayFolder="" count="0" memberValueDatatype="130" unbalanced="0"/>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fieldsUsage count="2">
        <fieldUsage x="-1"/>
        <fieldUsage x="1"/>
      </fieldsUsage>
    </cacheHierarchy>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fieldsUsage count="2">
        <fieldUsage x="-1"/>
        <fieldUsage x="2"/>
      </fieldsUsage>
    </cacheHierarchy>
    <cacheHierarchy uniqueName="[pwc callcenter].[Answered (Y/N)]" caption="Answered (Y/N)" attribute="1" defaultMemberUniqueName="[pwc callcenter].[Answered (Y/N)].[All]" allUniqueName="[pwc callcenter].[Answered (Y/N)].[All]" dimensionUniqueName="[pwc callcenter]" displayFolder="" count="0" memberValueDatatype="130" unbalanced="0"/>
    <cacheHierarchy uniqueName="[pwc callcenter].[Resolved]" caption="Resolved" attribute="1" defaultMemberUniqueName="[pwc callcenter].[Resolved].[All]" allUniqueName="[pwc callcenter].[Resolved].[All]" dimensionUniqueName="[pwc callcenter]" displayFolder="" count="0" memberValueDatatype="130" unbalanced="0"/>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cacheHierarchy uniqueName="[Measures].[nom of egent]" caption="nom of egent" measure="1" displayFolder="" measureGroup="date" count="0"/>
    <cacheHierarchy uniqueName="[Measures].[total duration]" caption="total duration" measure="1" displayFolder="" measureGroup="date" count="0"/>
    <cacheHierarchy uniqueName="[Measures].[avg handling time ]" caption="avg handling time " measure="1" displayFolder="" measureGroup="date" count="0" oneField="1">
      <fieldsUsage count="1">
        <fieldUsage x="0"/>
      </fieldsUsage>
    </cacheHierarchy>
    <cacheHierarchy uniqueName="[Measures].[avg satisfaction rating ]" caption="avg satisfaction rating " measure="1" displayFolder="" measureGroup="date" count="0"/>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dimensions count="3">
    <dimension name="date" uniqueName="[date]" caption="date"/>
    <dimension measure="1" name="Measures" uniqueName="[Measures]" caption="Measures"/>
    <dimension name="pwc callcenter" uniqueName="[pwc callcenter]" caption="pwc callcenter"/>
  </dimensions>
  <measureGroups count="2">
    <measureGroup name="date" caption="date"/>
    <measureGroup name="pwc callcenter" caption="pwc callcenter"/>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4.003074768516" backgroundQuery="1" createdVersion="8" refreshedVersion="8" minRefreshableVersion="3" recordCount="0" supportSubquery="1" supportAdvancedDrill="1" xr:uid="{18DE6CB8-CE07-4217-B14E-5A4B6BEE83AD}">
  <cacheSource type="external" connectionId="3"/>
  <cacheFields count="3">
    <cacheField name="[pwc callcenter].[Answered (Y/N)].[Answered (Y/N)]" caption="Answered (Y/N)" numFmtId="0" hierarchy="10" level="1">
      <sharedItems count="2">
        <s v="N"/>
        <s v="Y"/>
      </sharedItems>
    </cacheField>
    <cacheField name="[Measures].[total calls]" caption="total calls" numFmtId="0" hierarchy="15" level="32767"/>
    <cacheField name="[pwc callcenter].[Topic].[Topic]" caption="Topic" numFmtId="0" hierarchy="9" level="1">
      <sharedItems containsSemiMixedTypes="0" containsNonDate="0" containsString="0"/>
    </cacheField>
  </cacheFields>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ate].[Month Name]" caption="Month Name" attribute="1" defaultMemberUniqueName="[date].[Month Name].[All]" allUniqueName="[date].[Month Name].[All]" dimensionUniqueName="[date]" displayFolder="" count="0" memberValueDatatype="130" unbalanced="0"/>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fieldsUsage count="2">
        <fieldUsage x="-1"/>
        <fieldUsage x="2"/>
      </fieldsUsage>
    </cacheHierarchy>
    <cacheHierarchy uniqueName="[pwc callcenter].[Answered (Y/N)]" caption="Answered (Y/N)" attribute="1" defaultMemberUniqueName="[pwc callcenter].[Answered (Y/N)].[All]" allUniqueName="[pwc callcenter].[Answered (Y/N)].[All]" dimensionUniqueName="[pwc callcenter]" displayFolder="" count="2" memberValueDatatype="130" unbalanced="0">
      <fieldsUsage count="2">
        <fieldUsage x="-1"/>
        <fieldUsage x="0"/>
      </fieldsUsage>
    </cacheHierarchy>
    <cacheHierarchy uniqueName="[pwc callcenter].[Resolved]" caption="Resolved" attribute="1" defaultMemberUniqueName="[pwc callcenter].[Resolved].[All]" allUniqueName="[pwc callcenter].[Resolved].[All]" dimensionUniqueName="[pwc callcenter]" displayFolder="" count="0" memberValueDatatype="130" unbalanced="0"/>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oneField="1">
      <fieldsUsage count="1">
        <fieldUsage x="1"/>
      </fieldsUsage>
    </cacheHierarchy>
    <cacheHierarchy uniqueName="[Measures].[nom of egent]" caption="nom of egent" measure="1" displayFolder="" measureGroup="date" count="0"/>
    <cacheHierarchy uniqueName="[Measures].[total duration]" caption="total duration" measure="1" displayFolder="" measureGroup="date" count="0"/>
    <cacheHierarchy uniqueName="[Measures].[avg handling time ]" caption="avg handling time " measure="1" displayFolder="" measureGroup="date" count="0"/>
    <cacheHierarchy uniqueName="[Measures].[avg satisfaction rating ]" caption="avg satisfaction rating " measure="1" displayFolder="" measureGroup="date" count="0"/>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dimensions count="3">
    <dimension name="date" uniqueName="[date]" caption="date"/>
    <dimension measure="1" name="Measures" uniqueName="[Measures]" caption="Measures"/>
    <dimension name="pwc callcenter" uniqueName="[pwc callcenter]" caption="pwc callcenter"/>
  </dimensions>
  <measureGroups count="2">
    <measureGroup name="date" caption="date"/>
    <measureGroup name="pwc callcenter" caption="pwc callcenter"/>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4.003075347224" backgroundQuery="1" createdVersion="8" refreshedVersion="8" minRefreshableVersion="3" recordCount="0" supportSubquery="1" supportAdvancedDrill="1" xr:uid="{109CF984-7981-4271-AD76-680076BE04A0}">
  <cacheSource type="external" connectionId="3"/>
  <cacheFields count="3">
    <cacheField name="[Measures].[total calls]" caption="total calls" numFmtId="0" hierarchy="15" level="32767"/>
    <cacheField name="[pwc callcenter].[Resolved].[Resolved]" caption="Resolved" numFmtId="0" hierarchy="11" level="1">
      <sharedItems count="2">
        <s v="N"/>
        <s v="Y"/>
      </sharedItems>
    </cacheField>
    <cacheField name="[pwc callcenter].[Topic].[Topic]" caption="Topic" numFmtId="0" hierarchy="9" level="1">
      <sharedItems containsSemiMixedTypes="0" containsNonDate="0" containsString="0"/>
    </cacheField>
  </cacheFields>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ate].[Month Name]" caption="Month Name" attribute="1" defaultMemberUniqueName="[date].[Month Name].[All]" allUniqueName="[date].[Month Name].[All]" dimensionUniqueName="[date]" displayFolder="" count="0" memberValueDatatype="130" unbalanced="0"/>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fieldsUsage count="2">
        <fieldUsage x="-1"/>
        <fieldUsage x="2"/>
      </fieldsUsage>
    </cacheHierarchy>
    <cacheHierarchy uniqueName="[pwc callcenter].[Answered (Y/N)]" caption="Answered (Y/N)" attribute="1" defaultMemberUniqueName="[pwc callcenter].[Answered (Y/N)].[All]" allUniqueName="[pwc callcenter].[Answered (Y/N)].[All]" dimensionUniqueName="[pwc callcenter]" displayFolder="" count="0" memberValueDatatype="130" unbalanced="0"/>
    <cacheHierarchy uniqueName="[pwc callcenter].[Resolved]" caption="Resolved" attribute="1" defaultMemberUniqueName="[pwc callcenter].[Resolved].[All]" allUniqueName="[pwc callcenter].[Resolved].[All]" dimensionUniqueName="[pwc callcenter]" displayFolder="" count="2" memberValueDatatype="130" unbalanced="0">
      <fieldsUsage count="2">
        <fieldUsage x="-1"/>
        <fieldUsage x="1"/>
      </fieldsUsage>
    </cacheHierarchy>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oneField="1">
      <fieldsUsage count="1">
        <fieldUsage x="0"/>
      </fieldsUsage>
    </cacheHierarchy>
    <cacheHierarchy uniqueName="[Measures].[nom of egent]" caption="nom of egent" measure="1" displayFolder="" measureGroup="date" count="0"/>
    <cacheHierarchy uniqueName="[Measures].[total duration]" caption="total duration" measure="1" displayFolder="" measureGroup="date" count="0"/>
    <cacheHierarchy uniqueName="[Measures].[avg handling time ]" caption="avg handling time " measure="1" displayFolder="" measureGroup="date" count="0"/>
    <cacheHierarchy uniqueName="[Measures].[avg satisfaction rating ]" caption="avg satisfaction rating " measure="1" displayFolder="" measureGroup="date" count="0"/>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dimensions count="3">
    <dimension name="date" uniqueName="[date]" caption="date"/>
    <dimension measure="1" name="Measures" uniqueName="[Measures]" caption="Measures"/>
    <dimension name="pwc callcenter" uniqueName="[pwc callcenter]" caption="pwc callcenter"/>
  </dimensions>
  <measureGroups count="2">
    <measureGroup name="date" caption="date"/>
    <measureGroup name="pwc callcenter" caption="pwc callcenter"/>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4.003076504632" backgroundQuery="1" createdVersion="8" refreshedVersion="8" minRefreshableVersion="3" recordCount="0" supportSubquery="1" supportAdvancedDrill="1" xr:uid="{FE9EAEE0-7C38-4BD8-8E4F-5CFD9D3B80D2}">
  <cacheSource type="external" connectionId="3"/>
  <cacheFields count="3">
    <cacheField name="[Measures].[total calls]" caption="total calls" numFmtId="0" hierarchy="15" level="32767"/>
    <cacheField name="[date].[Day].[Day]" caption="Day" numFmtId="0" hierarchy="2" level="1">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extLst>
        <ext xmlns:x15="http://schemas.microsoft.com/office/spreadsheetml/2010/11/main" uri="{4F2E5C28-24EA-4eb8-9CBF-B6C8F9C3D259}">
          <x15:cachedUniqueNames>
            <x15:cachedUniqueName index="0" name="[date].[Day].&amp;[1]"/>
            <x15:cachedUniqueName index="1" name="[date].[Day].&amp;[2]"/>
            <x15:cachedUniqueName index="2" name="[date].[Day].&amp;[3]"/>
            <x15:cachedUniqueName index="3" name="[date].[Day].&amp;[4]"/>
            <x15:cachedUniqueName index="4" name="[date].[Day].&amp;[5]"/>
            <x15:cachedUniqueName index="5" name="[date].[Day].&amp;[6]"/>
            <x15:cachedUniqueName index="6" name="[date].[Day].&amp;[7]"/>
            <x15:cachedUniqueName index="7" name="[date].[Day].&amp;[8]"/>
            <x15:cachedUniqueName index="8" name="[date].[Day].&amp;[9]"/>
            <x15:cachedUniqueName index="9" name="[date].[Day].&amp;[10]"/>
            <x15:cachedUniqueName index="10" name="[date].[Day].&amp;[11]"/>
            <x15:cachedUniqueName index="11" name="[date].[Day].&amp;[12]"/>
            <x15:cachedUniqueName index="12" name="[date].[Day].&amp;[13]"/>
            <x15:cachedUniqueName index="13" name="[date].[Day].&amp;[14]"/>
            <x15:cachedUniqueName index="14" name="[date].[Day].&amp;[15]"/>
            <x15:cachedUniqueName index="15" name="[date].[Day].&amp;[16]"/>
            <x15:cachedUniqueName index="16" name="[date].[Day].&amp;[17]"/>
            <x15:cachedUniqueName index="17" name="[date].[Day].&amp;[18]"/>
            <x15:cachedUniqueName index="18" name="[date].[Day].&amp;[19]"/>
            <x15:cachedUniqueName index="19" name="[date].[Day].&amp;[20]"/>
            <x15:cachedUniqueName index="20" name="[date].[Day].&amp;[21]"/>
            <x15:cachedUniqueName index="21" name="[date].[Day].&amp;[22]"/>
            <x15:cachedUniqueName index="22" name="[date].[Day].&amp;[23]"/>
            <x15:cachedUniqueName index="23" name="[date].[Day].&amp;[24]"/>
            <x15:cachedUniqueName index="24" name="[date].[Day].&amp;[25]"/>
            <x15:cachedUniqueName index="25" name="[date].[Day].&amp;[26]"/>
            <x15:cachedUniqueName index="26" name="[date].[Day].&amp;[27]"/>
            <x15:cachedUniqueName index="27" name="[date].[Day].&amp;[28]"/>
            <x15:cachedUniqueName index="28" name="[date].[Day].&amp;[29]"/>
            <x15:cachedUniqueName index="29" name="[date].[Day].&amp;[30]"/>
            <x15:cachedUniqueName index="30" name="[date].[Day].&amp;[31]"/>
          </x15:cachedUniqueNames>
        </ext>
      </extLst>
    </cacheField>
    <cacheField name="[pwc callcenter].[Topic].[Topic]" caption="Topic" numFmtId="0" hierarchy="9" level="1">
      <sharedItems containsSemiMixedTypes="0" containsNonDate="0" containsString="0"/>
    </cacheField>
  </cacheFields>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Day]" caption="Day" attribute="1" defaultMemberUniqueName="[date].[Day].[All]" allUniqueName="[date].[Day].[All]" dimensionUniqueName="[date]" displayFolder="" count="2" memberValueDatatype="20" unbalanced="0">
      <fieldsUsage count="2">
        <fieldUsage x="-1"/>
        <fieldUsage x="1"/>
      </fieldsUsage>
    </cacheHierarchy>
    <cacheHierarchy uniqueName="[date].[Day Name]" caption="Day Name" attribute="1" defaultMemberUniqueName="[date].[Day Name].[All]" allUniqueName="[date].[Day Name].[All]" dimensionUniqueName="[date]" displayFolder="" count="0" memberValueDatatype="130" unbalanced="0"/>
    <cacheHierarchy uniqueName="[date].[Month Name]" caption="Month Name" attribute="1" defaultMemberUniqueName="[date].[Month Name].[All]" allUniqueName="[date].[Month Name].[All]" dimensionUniqueName="[date]" displayFolder="" count="0" memberValueDatatype="130" unbalanced="0"/>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fieldsUsage count="2">
        <fieldUsage x="-1"/>
        <fieldUsage x="2"/>
      </fieldsUsage>
    </cacheHierarchy>
    <cacheHierarchy uniqueName="[pwc callcenter].[Answered (Y/N)]" caption="Answered (Y/N)" attribute="1" defaultMemberUniqueName="[pwc callcenter].[Answered (Y/N)].[All]" allUniqueName="[pwc callcenter].[Answered (Y/N)].[All]" dimensionUniqueName="[pwc callcenter]" displayFolder="" count="0" memberValueDatatype="130" unbalanced="0"/>
    <cacheHierarchy uniqueName="[pwc callcenter].[Resolved]" caption="Resolved" attribute="1" defaultMemberUniqueName="[pwc callcenter].[Resolved].[All]" allUniqueName="[pwc callcenter].[Resolved].[All]" dimensionUniqueName="[pwc callcenter]" displayFolder="" count="0" memberValueDatatype="130" unbalanced="0"/>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oneField="1">
      <fieldsUsage count="1">
        <fieldUsage x="0"/>
      </fieldsUsage>
    </cacheHierarchy>
    <cacheHierarchy uniqueName="[Measures].[nom of egent]" caption="nom of egent" measure="1" displayFolder="" measureGroup="date" count="0"/>
    <cacheHierarchy uniqueName="[Measures].[total duration]" caption="total duration" measure="1" displayFolder="" measureGroup="date" count="0"/>
    <cacheHierarchy uniqueName="[Measures].[avg handling time ]" caption="avg handling time " measure="1" displayFolder="" measureGroup="date" count="0"/>
    <cacheHierarchy uniqueName="[Measures].[avg satisfaction rating ]" caption="avg satisfaction rating " measure="1" displayFolder="" measureGroup="date" count="0"/>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dimensions count="3">
    <dimension name="date" uniqueName="[date]" caption="date"/>
    <dimension measure="1" name="Measures" uniqueName="[Measures]" caption="Measures"/>
    <dimension name="pwc callcenter" uniqueName="[pwc callcenter]" caption="pwc callcenter"/>
  </dimensions>
  <measureGroups count="2">
    <measureGroup name="date" caption="date"/>
    <measureGroup name="pwc callcenter" caption="pwc callcenter"/>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4.003077083333" backgroundQuery="1" createdVersion="8" refreshedVersion="8" minRefreshableVersion="3" recordCount="0" supportSubquery="1" supportAdvancedDrill="1" xr:uid="{DD847545-81A9-4697-83B8-21241FF90494}">
  <cacheSource type="external" connectionId="3"/>
  <cacheFields count="3">
    <cacheField name="[Measures].[total calls]" caption="total calls" numFmtId="0" hierarchy="15" level="32767"/>
    <cacheField name="[date].[Day Name].[Day Name]" caption="Day Name" numFmtId="0" hierarchy="3" level="1">
      <sharedItems count="7">
        <s v="Friday"/>
        <s v="Monday"/>
        <s v="Saturday"/>
        <s v="Sunday"/>
        <s v="Thursday"/>
        <s v="Tuesday"/>
        <s v="Wednesday"/>
      </sharedItems>
    </cacheField>
    <cacheField name="[pwc callcenter].[Topic].[Topic]" caption="Topic" numFmtId="0" hierarchy="9" level="1">
      <sharedItems containsSemiMixedTypes="0" containsNonDate="0" containsString="0"/>
    </cacheField>
  </cacheFields>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2" memberValueDatatype="130" unbalanced="0">
      <fieldsUsage count="2">
        <fieldUsage x="-1"/>
        <fieldUsage x="1"/>
      </fieldsUsage>
    </cacheHierarchy>
    <cacheHierarchy uniqueName="[date].[Month Name]" caption="Month Name" attribute="1" defaultMemberUniqueName="[date].[Month Name].[All]" allUniqueName="[date].[Month Name].[All]" dimensionUniqueName="[date]" displayFolder="" count="0" memberValueDatatype="130" unbalanced="0"/>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fieldsUsage count="2">
        <fieldUsage x="-1"/>
        <fieldUsage x="2"/>
      </fieldsUsage>
    </cacheHierarchy>
    <cacheHierarchy uniqueName="[pwc callcenter].[Answered (Y/N)]" caption="Answered (Y/N)" attribute="1" defaultMemberUniqueName="[pwc callcenter].[Answered (Y/N)].[All]" allUniqueName="[pwc callcenter].[Answered (Y/N)].[All]" dimensionUniqueName="[pwc callcenter]" displayFolder="" count="0" memberValueDatatype="130" unbalanced="0"/>
    <cacheHierarchy uniqueName="[pwc callcenter].[Resolved]" caption="Resolved" attribute="1" defaultMemberUniqueName="[pwc callcenter].[Resolved].[All]" allUniqueName="[pwc callcenter].[Resolved].[All]" dimensionUniqueName="[pwc callcenter]" displayFolder="" count="0" memberValueDatatype="130" unbalanced="0"/>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oneField="1">
      <fieldsUsage count="1">
        <fieldUsage x="0"/>
      </fieldsUsage>
    </cacheHierarchy>
    <cacheHierarchy uniqueName="[Measures].[nom of egent]" caption="nom of egent" measure="1" displayFolder="" measureGroup="date" count="0"/>
    <cacheHierarchy uniqueName="[Measures].[total duration]" caption="total duration" measure="1" displayFolder="" measureGroup="date" count="0"/>
    <cacheHierarchy uniqueName="[Measures].[avg handling time ]" caption="avg handling time " measure="1" displayFolder="" measureGroup="date" count="0"/>
    <cacheHierarchy uniqueName="[Measures].[avg satisfaction rating ]" caption="avg satisfaction rating " measure="1" displayFolder="" measureGroup="date" count="0"/>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dimensions count="3">
    <dimension name="date" uniqueName="[date]" caption="date"/>
    <dimension measure="1" name="Measures" uniqueName="[Measures]" caption="Measures"/>
    <dimension name="pwc callcenter" uniqueName="[pwc callcenter]" caption="pwc callcenter"/>
  </dimensions>
  <measureGroups count="2">
    <measureGroup name="date" caption="date"/>
    <measureGroup name="pwc callcenter" caption="pwc callcenter"/>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4.003077546295" backgroundQuery="1" createdVersion="8" refreshedVersion="8" minRefreshableVersion="3" recordCount="0" supportSubquery="1" supportAdvancedDrill="1" xr:uid="{5FBC2A3F-F912-417A-B3C5-67E0EA59D3ED}">
  <cacheSource type="external" connectionId="3"/>
  <cacheFields count="3">
    <cacheField name="[Measures].[total calls]" caption="total calls" numFmtId="0" hierarchy="15" level="32767"/>
    <cacheField name="[date].[Month Name].[Month Name]" caption="Month Name" numFmtId="0" hierarchy="4" level="1">
      <sharedItems count="3">
        <s v="February"/>
        <s v="January"/>
        <s v="March"/>
      </sharedItems>
    </cacheField>
    <cacheField name="[pwc callcenter].[Topic].[Topic]" caption="Topic" numFmtId="0" hierarchy="9" level="1">
      <sharedItems containsSemiMixedTypes="0" containsNonDate="0" containsString="0"/>
    </cacheField>
  </cacheFields>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2" memberValueDatatype="2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1"/>
      </fieldsUsage>
    </cacheHierarchy>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fieldsUsage count="2">
        <fieldUsage x="-1"/>
        <fieldUsage x="2"/>
      </fieldsUsage>
    </cacheHierarchy>
    <cacheHierarchy uniqueName="[pwc callcenter].[Answered (Y/N)]" caption="Answered (Y/N)" attribute="1" defaultMemberUniqueName="[pwc callcenter].[Answered (Y/N)].[All]" allUniqueName="[pwc callcenter].[Answered (Y/N)].[All]" dimensionUniqueName="[pwc callcenter]" displayFolder="" count="0" memberValueDatatype="130" unbalanced="0"/>
    <cacheHierarchy uniqueName="[pwc callcenter].[Resolved]" caption="Resolved" attribute="1" defaultMemberUniqueName="[pwc callcenter].[Resolved].[All]" allUniqueName="[pwc callcenter].[Resolved].[All]" dimensionUniqueName="[pwc callcenter]" displayFolder="" count="0" memberValueDatatype="130" unbalanced="0"/>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oneField="1">
      <fieldsUsage count="1">
        <fieldUsage x="0"/>
      </fieldsUsage>
    </cacheHierarchy>
    <cacheHierarchy uniqueName="[Measures].[nom of egent]" caption="nom of egent" measure="1" displayFolder="" measureGroup="date" count="0"/>
    <cacheHierarchy uniqueName="[Measures].[total duration]" caption="total duration" measure="1" displayFolder="" measureGroup="date" count="0"/>
    <cacheHierarchy uniqueName="[Measures].[avg handling time ]" caption="avg handling time " measure="1" displayFolder="" measureGroup="date" count="0"/>
    <cacheHierarchy uniqueName="[Measures].[avg satisfaction rating ]" caption="avg satisfaction rating " measure="1" displayFolder="" measureGroup="date" count="0"/>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dimensions count="3">
    <dimension name="date" uniqueName="[date]" caption="date"/>
    <dimension measure="1" name="Measures" uniqueName="[Measures]" caption="Measures"/>
    <dimension name="pwc callcenter" uniqueName="[pwc callcenter]" caption="pwc callcenter"/>
  </dimensions>
  <measureGroups count="2">
    <measureGroup name="date" caption="date"/>
    <measureGroup name="pwc callcenter" caption="pwc callcenter"/>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4.003075925924" backgroundQuery="1" createdVersion="8" refreshedVersion="8" minRefreshableVersion="3" recordCount="0" supportSubquery="1" supportAdvancedDrill="1" xr:uid="{217F9704-2017-49AA-9E94-F97147E3DBC2}">
  <cacheSource type="external" connectionId="3"/>
  <cacheFields count="2">
    <cacheField name="[Measures].[total calls]" caption="total calls" numFmtId="0" hierarchy="15" level="32767"/>
    <cacheField name="[pwc callcenter].[Topic].[Topic]" caption="Topic" numFmtId="0" hierarchy="9" level="1">
      <sharedItems count="1">
        <s v="Admin Support"/>
      </sharedItems>
    </cacheField>
  </cacheFields>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ate].[Month Name]" caption="Month Name" attribute="1" defaultMemberUniqueName="[date].[Month Name].[All]" allUniqueName="[date].[Month Name].[All]" dimensionUniqueName="[date]" displayFolder="" count="0" memberValueDatatype="130" unbalanced="0"/>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fieldsUsage count="2">
        <fieldUsage x="-1"/>
        <fieldUsage x="1"/>
      </fieldsUsage>
    </cacheHierarchy>
    <cacheHierarchy uniqueName="[pwc callcenter].[Answered (Y/N)]" caption="Answered (Y/N)" attribute="1" defaultMemberUniqueName="[pwc callcenter].[Answered (Y/N)].[All]" allUniqueName="[pwc callcenter].[Answered (Y/N)].[All]" dimensionUniqueName="[pwc callcenter]" displayFolder="" count="0" memberValueDatatype="130" unbalanced="0"/>
    <cacheHierarchy uniqueName="[pwc callcenter].[Resolved]" caption="Resolved" attribute="1" defaultMemberUniqueName="[pwc callcenter].[Resolved].[All]" allUniqueName="[pwc callcenter].[Resolved].[All]" dimensionUniqueName="[pwc callcenter]" displayFolder="" count="0" memberValueDatatype="130" unbalanced="0"/>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oneField="1">
      <fieldsUsage count="1">
        <fieldUsage x="0"/>
      </fieldsUsage>
    </cacheHierarchy>
    <cacheHierarchy uniqueName="[Measures].[nom of egent]" caption="nom of egent" measure="1" displayFolder="" measureGroup="date" count="0"/>
    <cacheHierarchy uniqueName="[Measures].[total duration]" caption="total duration" measure="1" displayFolder="" measureGroup="date" count="0"/>
    <cacheHierarchy uniqueName="[Measures].[avg handling time ]" caption="avg handling time " measure="1" displayFolder="" measureGroup="date" count="0"/>
    <cacheHierarchy uniqueName="[Measures].[avg satisfaction rating ]" caption="avg satisfaction rating " measure="1" displayFolder="" measureGroup="date" count="0"/>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dimensions count="3">
    <dimension name="date" uniqueName="[date]" caption="date"/>
    <dimension measure="1" name="Measures" uniqueName="[Measures]" caption="Measures"/>
    <dimension name="pwc callcenter" uniqueName="[pwc callcenter]" caption="pwc callcenter"/>
  </dimensions>
  <measureGroups count="2">
    <measureGroup name="date" caption="date"/>
    <measureGroup name="pwc callcenter" caption="pwc callcenter"/>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192.993938541666" backgroundQuery="1" createdVersion="3" refreshedVersion="8" minRefreshableVersion="3" recordCount="0" supportSubquery="1" supportAdvancedDrill="1" xr:uid="{016F7B95-096A-4F5C-A1FC-A248322E555A}">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date].[Date]" caption="Date" attribute="1" time="1" defaultMemberUniqueName="[date].[Date].[All]" allUniqueName="[date].[Date].[All]" dimensionUniqueName="[date]" displayFolder="" count="0" memberValueDatatype="7" unbalanced="0"/>
    <cacheHierarchy uniqueName="[date].[Month]" caption="Month" attribute="1" defaultMemberUniqueName="[date].[Month].[All]" allUniqueName="[date].[Month].[All]" dimensionUniqueName="[date]" displayFolder="" count="0" memberValueDatatype="2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ate].[Month Name]" caption="Month Name" attribute="1" defaultMemberUniqueName="[date].[Month Name].[All]" allUniqueName="[date].[Month Name].[All]" dimensionUniqueName="[date]" displayFolder="" count="0" memberValueDatatype="130" unbalanced="0"/>
    <cacheHierarchy uniqueName="[pwc callcenter].[Call Id]" caption="Call Id" attribute="1" defaultMemberUniqueName="[pwc callcenter].[Call Id].[All]" allUniqueName="[pwc callcenter].[Call Id].[All]" dimensionUniqueName="[pwc callcenter]" displayFolder="" count="0" memberValueDatatype="130" unbalanced="0"/>
    <cacheHierarchy uniqueName="[pwc callcenter].[Agent]" caption="Agent" attribute="1" defaultMemberUniqueName="[pwc callcenter].[Agent].[All]" allUniqueName="[pwc callcenter].[Agent].[All]" dimensionUniqueName="[pwc callcenter]" displayFolder="" count="2" memberValueDatatype="130" unbalanced="0"/>
    <cacheHierarchy uniqueName="[pwc callcenter].[Date]" caption="Date" attribute="1" time="1" defaultMemberUniqueName="[pwc callcenter].[Date].[All]" allUniqueName="[pwc callcenter].[Date].[All]" dimensionUniqueName="[pwc callcenter]" displayFolder="" count="0" memberValueDatatype="7" unbalanced="0"/>
    <cacheHierarchy uniqueName="[pwc callcenter].[Time]" caption="Time" attribute="1" time="1" defaultMemberUniqueName="[pwc callcenter].[Time].[All]" allUniqueName="[pwc callcenter].[Time].[All]" dimensionUniqueName="[pwc callcenter]" displayFolder="" count="0" memberValueDatatype="7" unbalanced="0"/>
    <cacheHierarchy uniqueName="[pwc callcenter].[Topic]" caption="Topic" attribute="1" defaultMemberUniqueName="[pwc callcenter].[Topic].[All]" allUniqueName="[pwc callcenter].[Topic].[All]" dimensionUniqueName="[pwc callcenter]" displayFolder="" count="2" memberValueDatatype="130" unbalanced="0"/>
    <cacheHierarchy uniqueName="[pwc callcenter].[Answered (Y/N)]" caption="Answered (Y/N)" attribute="1" defaultMemberUniqueName="[pwc callcenter].[Answered (Y/N)].[All]" allUniqueName="[pwc callcenter].[Answered (Y/N)].[All]" dimensionUniqueName="[pwc callcenter]" displayFolder="" count="0" memberValueDatatype="130" unbalanced="0"/>
    <cacheHierarchy uniqueName="[pwc callcenter].[Resolved]" caption="Resolved" attribute="1" defaultMemberUniqueName="[pwc callcenter].[Resolved].[All]" allUniqueName="[pwc callcenter].[Resolved].[All]" dimensionUniqueName="[pwc callcenter]" displayFolder="" count="0" memberValueDatatype="130" unbalanced="0"/>
    <cacheHierarchy uniqueName="[pwc callcenter].[Speed of answer in seconds]" caption="Speed of answer in seconds" attribute="1" defaultMemberUniqueName="[pwc callcenter].[Speed of answer in seconds].[All]" allUniqueName="[pwc callcenter].[Speed of answer in seconds].[All]" dimensionUniqueName="[pwc callcenter]" displayFolder="" count="0" memberValueDatatype="20" unbalanced="0"/>
    <cacheHierarchy uniqueName="[pwc callcenter].[AvgTalkDuration]" caption="AvgTalkDuration" attribute="1" time="1" defaultMemberUniqueName="[pwc callcenter].[AvgTalkDuration].[All]" allUniqueName="[pwc callcenter].[AvgTalkDuration].[All]" dimensionUniqueName="[pwc callcenter]" displayFolder="" count="0" memberValueDatatype="7" unbalanced="0"/>
    <cacheHierarchy uniqueName="[pwc callcenter].[Satisfaction rating]" caption="Satisfaction rating" attribute="1" defaultMemberUniqueName="[pwc callcenter].[Satisfaction rating].[All]" allUniqueName="[pwc callcenter].[Satisfaction rating].[All]" dimensionUniqueName="[pwc callcenter]" displayFolder="" count="0" memberValueDatatype="20" unbalanced="0"/>
    <cacheHierarchy uniqueName="[Measures].[total calls]" caption="total calls" measure="1" displayFolder="" measureGroup="date" count="0"/>
    <cacheHierarchy uniqueName="[Measures].[nom of egent]" caption="nom of egent" measure="1" displayFolder="" measureGroup="date" count="0"/>
    <cacheHierarchy uniqueName="[Measures].[total duration]" caption="total duration" measure="1" displayFolder="" measureGroup="date" count="0"/>
    <cacheHierarchy uniqueName="[Measures].[avg handling time ]" caption="avg handling time " measure="1" displayFolder="" measureGroup="date" count="0"/>
    <cacheHierarchy uniqueName="[Measures].[avg satisfaction rating ]" caption="avg satisfaction rating " measure="1" displayFolder="" measureGroup="date" count="0"/>
    <cacheHierarchy uniqueName="[Measures].[__XL_Count pwc callcenter]" caption="__XL_Count pwc callcenter" measure="1" displayFolder="" measureGroup="pwc callcenter"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Month]" caption="Sum of Month" measure="1" displayFolder="" measureGroup="dat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4393882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5C6D0B-5250-49DD-9807-AA4448FABDE3}" name="answred or not" cacheId="8" applyNumberFormats="0" applyBorderFormats="0" applyFontFormats="0" applyPatternFormats="0" applyAlignmentFormats="0" applyWidthHeightFormats="1" dataCaption="Values" tag="d93465cb-7e5a-48c9-9fce-bff50bcfaec7" updatedVersion="8" minRefreshableVersion="3" useAutoFormatting="1" rowGrandTotals="0" colGrandTotals="0" itemPrintTitles="1" createdVersion="8" indent="0" outline="1" outlineData="1" multipleFieldFilters="0" chartFormat="28">
  <location ref="B28:C3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numFmtId="1"/>
  </dataFields>
  <formats count="2">
    <format dxfId="1">
      <pivotArea dataOnly="0" labelOnly="1" outline="0" axis="axisValues" fieldPosition="0"/>
    </format>
    <format dxfId="0">
      <pivotArea outline="0" collapsedLevelsAreSubtotals="1" fieldPosition="0"/>
    </format>
  </formats>
  <chartFormats count="6">
    <chartFormat chart="15" format="0"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0" count="1" selected="0">
            <x v="0"/>
          </reference>
        </references>
      </pivotArea>
    </chartFormat>
    <chartFormat chart="23" format="12">
      <pivotArea type="data" outline="0" fieldPosition="0">
        <references count="2">
          <reference field="4294967294" count="1" selected="0">
            <x v="0"/>
          </reference>
          <reference field="0" count="1" selected="0">
            <x v="1"/>
          </reference>
        </references>
      </pivotArea>
    </chartFormat>
    <chartFormat chart="15" format="1">
      <pivotArea type="data" outline="0" fieldPosition="0">
        <references count="2">
          <reference field="4294967294" count="1" selected="0">
            <x v="0"/>
          </reference>
          <reference field="0" count="1" selected="0">
            <x v="0"/>
          </reference>
        </references>
      </pivotArea>
    </chartFormat>
    <chartFormat chart="15" format="2">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wc callcenter].[Topic].&amp;[Admin Suppor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 callcent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46C0C2-D86B-4F72-B27A-C4D33DE25CF0}" name="PivotTable4" cacheId="3" applyNumberFormats="0" applyBorderFormats="0" applyFontFormats="0" applyPatternFormats="0" applyAlignmentFormats="0" applyWidthHeightFormats="1" dataCaption="Values" tag="ac07e506-3ccd-434c-9276-b92715daf9ae" updatedVersion="8" minRefreshableVersion="3" useAutoFormatting="1" itemPrintTitles="1" createdVersion="8" indent="0" outline="1" outlineData="1" multipleFieldFilters="0">
  <location ref="H17:H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2">
    <format dxfId="3">
      <pivotArea dataOnly="0" labelOnly="1" outline="0" axis="axisValues" fieldPosition="0"/>
    </format>
    <format dxfId="2">
      <pivotArea outline="0" collapsedLevelsAreSubtotals="1" fieldPosition="0"/>
    </format>
  </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wc callcenter].[Topic].&amp;[Admin Suppor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 callcent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DEDEA3-FFA3-4F48-8C36-D9BA7BE6A921}" name="calls per name pf day" cacheId="11" applyNumberFormats="0" applyBorderFormats="0" applyFontFormats="0" applyPatternFormats="0" applyAlignmentFormats="0" applyWidthHeightFormats="1" dataCaption="Values" tag="493c8a6b-c005-437c-9a57-b2121d545649" updatedVersion="8" minRefreshableVersion="3" useAutoFormatting="1" rowGrandTotals="0" colGrandTotals="0" itemPrintTitles="1" createdVersion="8" indent="0" outline="1" outlineData="1" multipleFieldFilters="0" chartFormat="45">
  <location ref="AD8:AE15"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7">
    <i>
      <x/>
    </i>
    <i>
      <x v="1"/>
    </i>
    <i>
      <x v="2"/>
    </i>
    <i>
      <x v="3"/>
    </i>
    <i>
      <x v="4"/>
    </i>
    <i>
      <x v="5"/>
    </i>
    <i>
      <x v="6"/>
    </i>
  </rowItems>
  <colItems count="1">
    <i/>
  </colItems>
  <dataFields count="1">
    <dataField fld="0" subtotal="count" baseField="0" baseItem="0"/>
  </dataFields>
  <formats count="2">
    <format dxfId="5">
      <pivotArea dataOnly="0" labelOnly="1" outline="0" axis="axisValues" fieldPosition="0"/>
    </format>
    <format dxfId="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wc callcenter].[Topic].&amp;[Admin Suppor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 callcent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F76E7B-BA5D-4569-A0B4-635A8501AB2E}" name="PivotTable6" cacheId="5" applyNumberFormats="0" applyBorderFormats="0" applyFontFormats="0" applyPatternFormats="0" applyAlignmentFormats="0" applyWidthHeightFormats="1" dataCaption="Values" tag="2834e11e-d9bf-4a61-95af-b097667f4ccf" updatedVersion="8" minRefreshableVersion="3" useAutoFormatting="1" itemPrintTitles="1" createdVersion="8" indent="0" outline="1" outlineData="1" multipleFieldFilters="0">
  <location ref="L4:L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7">
      <pivotArea dataOnly="0" labelOnly="1" outline="0" axis="axisValues" fieldPosition="0"/>
    </format>
    <format dxfId="6">
      <pivotArea outline="0" collapsedLevelsAreSubtotals="1" fieldPosition="0"/>
    </format>
  </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wc callcenter].[Topic].&amp;[Admin Suppor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 callcent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99C5C3-1180-4CD5-8BDA-97B9121111D1}" name="PivotTable1" cacheId="1" applyNumberFormats="0" applyBorderFormats="0" applyFontFormats="0" applyPatternFormats="0" applyAlignmentFormats="0" applyWidthHeightFormats="1" dataCaption="Values" tag="a607d40a-2fbe-4da1-a0e8-2131bc01d833"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9">
      <pivotArea dataOnly="0" labelOnly="1" outline="0" axis="axisValues" fieldPosition="0"/>
    </format>
    <format dxfId="8">
      <pivotArea outline="0" collapsedLevelsAreSubtotals="1" fieldPosition="0"/>
    </format>
  </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wc callcenter].[Topic].&amp;[Admin Suppor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 callcent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764C71-03E6-42F8-8FC8-56FCD2FF1048}" name="PivotTable5" cacheId="4" applyNumberFormats="0" applyBorderFormats="0" applyFontFormats="0" applyPatternFormats="0" applyAlignmentFormats="0" applyWidthHeightFormats="1" dataCaption="Values" tag="19668bde-e47a-45ce-9c0d-f3758a161de3" updatedVersion="8" minRefreshableVersion="3" useAutoFormatting="1" itemPrintTitles="1" createdVersion="8" indent="0" outline="1" outlineData="1" multipleFieldFilters="0">
  <location ref="H24:H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1">
      <pivotArea dataOnly="0" labelOnly="1" outline="0" axis="axisValues" fieldPosition="0"/>
    </format>
    <format dxfId="10">
      <pivotArea outline="0" collapsedLevelsAreSubtotals="1" fieldPosition="0"/>
    </format>
  </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wc callcenter].[Topic].&amp;[Admin Suppor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 callcent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0AC646-FA8A-41B4-9638-5C90E3A445DD}" name="PivotTable3" cacheId="2" applyNumberFormats="0" applyBorderFormats="0" applyFontFormats="0" applyPatternFormats="0" applyAlignmentFormats="0" applyWidthHeightFormats="1" dataCaption="Values" tag="38341360-c9f3-4580-be55-34a74cc16eeb" updatedVersion="8" minRefreshableVersion="3" useAutoFormatting="1" itemPrintTitles="1" createdVersion="8" indent="0" outline="1" outlineData="1" multipleFieldFilters="0">
  <location ref="H10:H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wc callcenter].[Topic].&amp;[Admin Suppor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 callcent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0DEAE0-902B-43D7-8ACD-EF045BB29504}" name="PivotTable2" cacheId="0" applyNumberFormats="0" applyBorderFormats="0" applyFontFormats="0" applyPatternFormats="0" applyAlignmentFormats="0" applyWidthHeightFormats="1" dataCaption="Values" tag="f7ca8cf0-c29f-426a-a528-46d71ba2e013" updatedVersion="8" minRefreshableVersion="3" useAutoFormatting="1" itemPrintTitles="1" createdVersion="8" indent="0" outline="1" outlineData="1" multipleFieldFilters="0">
  <location ref="H4:H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wc callcenter].[Topic].&amp;[Admin Suppor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 callcent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87237A-9BC6-4AA4-8040-B25A5CF3F43C}" name="calls per day" cacheId="10" applyNumberFormats="0" applyBorderFormats="0" applyFontFormats="0" applyPatternFormats="0" applyAlignmentFormats="0" applyWidthHeightFormats="1" dataCaption="Values" tag="c900e61a-b3ac-4e33-b5f7-02e85ee32ec9" updatedVersion="8" minRefreshableVersion="3" useAutoFormatting="1" rowGrandTotals="0" colGrandTotals="0" itemPrintTitles="1" createdVersion="8" indent="0" outline="1" outlineData="1" multipleFieldFilters="0" chartFormat="6">
  <location ref="Z8:AA39"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fld="0" subtotal="count" baseField="0" baseItem="0"/>
  </dataFields>
  <formats count="2">
    <format dxfId="13">
      <pivotArea dataOnly="0" labelOnly="1" outline="0" axis="axisValues" fieldPosition="0"/>
    </format>
    <format dxfId="1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wc callcenter].[Topic].&amp;[Admin Suppor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 callcent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972586-36D8-4895-8997-3CFAA54748A5}" name="resolved vs not" cacheId="9" applyNumberFormats="0" applyBorderFormats="0" applyFontFormats="0" applyPatternFormats="0" applyAlignmentFormats="0" applyWidthHeightFormats="1" dataCaption="Values" tag="4279a207-9e4a-476d-aa63-cfc7b3240521" updatedVersion="8" minRefreshableVersion="3" useAutoFormatting="1" subtotalHiddenItems="1" rowGrandTotals="0" colGrandTotals="0" itemPrintTitles="1" createdVersion="8" indent="0" outline="1" outlineData="1" multipleFieldFilters="0" chartFormat="26">
  <location ref="A38:B4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fld="0" subtotal="count" baseField="0" baseItem="0" numFmtId="1"/>
  </dataFields>
  <formats count="2">
    <format dxfId="15">
      <pivotArea dataOnly="0" labelOnly="1" outline="0" axis="axisValues" fieldPosition="0"/>
    </format>
    <format dxfId="14">
      <pivotArea outline="0" collapsedLevelsAreSubtotals="1" fieldPosition="0"/>
    </format>
  </formats>
  <chartFormats count="3">
    <chartFormat chart="15"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wc callcenter].[Topic].&amp;[Admin Suppor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 callcent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7274F1-62A9-44B3-A9E9-DBF44B8492C3}" name="calls per month" cacheId="12" applyNumberFormats="0" applyBorderFormats="0" applyFontFormats="0" applyPatternFormats="0" applyAlignmentFormats="0" applyWidthHeightFormats="1" dataCaption="Values" tag="7e874a06-9032-4472-b192-8ec7327ab1bc" updatedVersion="8" minRefreshableVersion="3" useAutoFormatting="1" rowGrandTotals="0" colGrandTotals="0" itemPrintTitles="1" createdVersion="8" indent="0" outline="1" outlineData="1" multipleFieldFilters="0" chartFormat="51">
  <location ref="AH9:AI1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fld="0" subtotal="count" baseField="0" baseItem="0" numFmtId="1"/>
  </dataFields>
  <formats count="2">
    <format dxfId="17">
      <pivotArea dataOnly="0" labelOnly="1" outline="0" axis="axisValues" fieldPosition="0"/>
    </format>
    <format dxfId="16">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5" format="4">
      <pivotArea type="data" outline="0" fieldPosition="0">
        <references count="2">
          <reference field="4294967294" count="1" selected="0">
            <x v="0"/>
          </reference>
          <reference field="1" count="1" selected="0">
            <x v="0"/>
          </reference>
        </references>
      </pivotArea>
    </chartFormat>
    <chartFormat chart="45" format="5">
      <pivotArea type="data" outline="0" fieldPosition="0">
        <references count="2">
          <reference field="4294967294" count="1" selected="0">
            <x v="0"/>
          </reference>
          <reference field="1" count="1" selected="0">
            <x v="2"/>
          </reference>
        </references>
      </pivotArea>
    </chartFormat>
    <chartFormat chart="45" format="6">
      <pivotArea type="data" outline="0" fieldPosition="0">
        <references count="2">
          <reference field="4294967294" count="1" selected="0">
            <x v="0"/>
          </reference>
          <reference field="1" count="1" selected="0">
            <x v="1"/>
          </reference>
        </references>
      </pivotArea>
    </chartFormat>
    <chartFormat chart="48" format="11" series="1">
      <pivotArea type="data" outline="0" fieldPosition="0">
        <references count="1">
          <reference field="4294967294" count="1" selected="0">
            <x v="0"/>
          </reference>
        </references>
      </pivotArea>
    </chartFormat>
    <chartFormat chart="48" format="12">
      <pivotArea type="data" outline="0" fieldPosition="0">
        <references count="2">
          <reference field="4294967294" count="1" selected="0">
            <x v="0"/>
          </reference>
          <reference field="1" count="1" selected="0">
            <x v="0"/>
          </reference>
        </references>
      </pivotArea>
    </chartFormat>
    <chartFormat chart="48" format="13">
      <pivotArea type="data" outline="0" fieldPosition="0">
        <references count="2">
          <reference field="4294967294" count="1" selected="0">
            <x v="0"/>
          </reference>
          <reference field="1" count="1" selected="0">
            <x v="1"/>
          </reference>
        </references>
      </pivotArea>
    </chartFormat>
    <chartFormat chart="48" format="14">
      <pivotArea type="data" outline="0" fieldPosition="0">
        <references count="2">
          <reference field="4294967294" count="1" selected="0">
            <x v="0"/>
          </reference>
          <reference field="1" count="1" selected="0">
            <x v="2"/>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wc callcenter].[Topic].&amp;[Admin Suppor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 callcent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BB4EC4-63BA-4B6C-B445-3F9A04FF4211}" name="nom of calls for each agent" cacheId="6" applyNumberFormats="0" applyBorderFormats="0" applyFontFormats="0" applyPatternFormats="0" applyAlignmentFormats="0" applyWidthHeightFormats="1" dataCaption="Values" tag="a1c67709-5e27-400e-8f4c-cfb284ec730f" updatedVersion="8" minRefreshableVersion="3" useAutoFormatting="1" rowGrandTotals="0" colGrandTotals="0" itemPrintTitles="1" createdVersion="8" indent="0" outline="1" outlineData="1" multipleFieldFilters="0" chartFormat="11">
  <location ref="O17:P25"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fld="0" subtotal="count" baseField="0" baseItem="0" numFmtId="1"/>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wc callcenter].[Topic].&amp;[Admin Suppor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 callcent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4A57B19-9AA9-4984-A58C-CD13FF4329A1}" name="PivotTable15" cacheId="13" applyNumberFormats="0" applyBorderFormats="0" applyFontFormats="0" applyPatternFormats="0" applyAlignmentFormats="0" applyWidthHeightFormats="1" dataCaption="Values" tag="bb28bb6a-fece-40a8-84cb-0955e592ca86" updatedVersion="8" minRefreshableVersion="3" useAutoFormatting="1" subtotalHiddenItems="1" rowGrandTotals="0" colGrandTotals="0" itemPrintTitles="1" createdVersion="8" indent="0" outline="1" outlineData="1" multipleFieldFilters="0" chartFormat="36">
  <location ref="S2:T3" firstHeaderRow="1" firstDataRow="1" firstDataCol="1"/>
  <pivotFields count="2">
    <pivotField dataField="1" subtotalTop="0" showAll="0" defaultSubtotal="0"/>
    <pivotField axis="axisRow" allDrilled="1" subtotalTop="0" showAll="0" dataSourceSort="1" defaultSubtotal="0" defaultAttributeDrillState="1">
      <items count="1">
        <item s="1" x="0"/>
      </items>
    </pivotField>
  </pivotFields>
  <rowFields count="1">
    <field x="1"/>
  </rowFields>
  <rowItems count="1">
    <i>
      <x/>
    </i>
  </rowItems>
  <colItems count="1">
    <i/>
  </colItems>
  <dataFields count="1">
    <dataField fld="0" subtotal="count" baseField="0" baseItem="0" numFmtId="1"/>
  </dataFields>
  <formats count="2">
    <format dxfId="22">
      <pivotArea dataOnly="0" labelOnly="1" outline="0" axis="axisValues" fieldPosition="0"/>
    </format>
    <format dxfId="21">
      <pivotArea outline="0" collapsedLevelsAreSubtotals="1" fieldPosition="0"/>
    </format>
  </formats>
  <chartFormats count="5">
    <chartFormat chart="15"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 callcent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EEC2DB-432D-4EBF-A9B8-92411D73ADCB}" name="aht of each agent" cacheId="7" applyNumberFormats="0" applyBorderFormats="0" applyFontFormats="0" applyPatternFormats="0" applyAlignmentFormats="0" applyWidthHeightFormats="1" dataCaption="Values" tag="5160fb30-1507-4280-80b3-c446cdf25b03" updatedVersion="8" minRefreshableVersion="3" useAutoFormatting="1" rowGrandTotals="0" colGrandTotals="0" itemPrintTitles="1" createdVersion="8" indent="0" outline="1" outlineData="1" multipleFieldFilters="0" chartFormat="15">
  <location ref="H30:I38"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fld="0" subtotal="count" baseField="0" baseItem="0"/>
  </dataFields>
  <formats count="2">
    <format dxfId="24">
      <pivotArea dataOnly="0" labelOnly="1" outline="0" axis="axisValues" fieldPosition="0"/>
    </format>
    <format dxfId="23">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wc callcenter].[Topic].&amp;[Admin Suppor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wc callcenter]"/>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 xr10:uid="{ACDCA86B-55E9-4142-BC3F-CECF6873BA23}" sourceName="[pwc callcenter].[Topic]">
  <pivotTables>
    <pivotTable tabId="2" name="PivotTable2"/>
    <pivotTable tabId="2" name="PivotTable1"/>
    <pivotTable tabId="2" name="PivotTable3"/>
    <pivotTable tabId="2" name="PivotTable4"/>
    <pivotTable tabId="2" name="PivotTable5"/>
    <pivotTable tabId="2" name="PivotTable6"/>
    <pivotTable tabId="2" name="nom of calls for each agent"/>
    <pivotTable tabId="2" name="aht of each agent"/>
    <pivotTable tabId="2" name="answred or not"/>
    <pivotTable tabId="2" name="resolved vs not"/>
    <pivotTable tabId="2" name="PivotTable15"/>
    <pivotTable tabId="2" name="calls per day"/>
    <pivotTable tabId="2" name="calls per name pf day"/>
    <pivotTable tabId="2" name="calls per month"/>
  </pivotTables>
  <data>
    <olap pivotCacheId="439388216">
      <levels count="2">
        <level uniqueName="[pwc callcenter].[Topic].[(All)]" sourceCaption="(All)" count="0"/>
        <level uniqueName="[pwc callcenter].[Topic].[Topic]" sourceCaption="Topic" count="5">
          <ranges>
            <range startItem="0">
              <i n="[pwc callcenter].[Topic].&amp;[Admin Support]" c="Admin Support"/>
              <i n="[pwc callcenter].[Topic].&amp;[Contract related]" c="Contract related"/>
              <i n="[pwc callcenter].[Topic].&amp;[Payment related]" c="Payment related"/>
              <i n="[pwc callcenter].[Topic].&amp;[Streaming]" c="Streaming"/>
              <i n="[pwc callcenter].[Topic].&amp;[Technical Support]" c="Technical Support"/>
            </range>
          </ranges>
        </level>
      </levels>
      <selections count="1">
        <selection n="[pwc callcenter].[Topic].&amp;[Admin Suppor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93D47E91-44C0-4961-AEEC-21F505F7B619}" sourceName="[pwc callcenter].[Agent]">
  <pivotTables>
    <pivotTable tabId="2" name="PivotTable2"/>
    <pivotTable tabId="2" name="PivotTable1"/>
    <pivotTable tabId="2" name="PivotTable3"/>
    <pivotTable tabId="2" name="PivotTable4"/>
    <pivotTable tabId="2" name="PivotTable5"/>
    <pivotTable tabId="2" name="PivotTable6"/>
    <pivotTable tabId="2" name="nom of calls for each agent"/>
    <pivotTable tabId="2" name="aht of each agent"/>
    <pivotTable tabId="2" name="answred or not"/>
    <pivotTable tabId="2" name="resolved vs not"/>
    <pivotTable tabId="2" name="PivotTable15"/>
    <pivotTable tabId="2" name="calls per day"/>
    <pivotTable tabId="2" name="calls per name pf day"/>
    <pivotTable tabId="2" name="calls per month"/>
  </pivotTables>
  <data>
    <olap pivotCacheId="439388216">
      <levels count="2">
        <level uniqueName="[pwc callcenter].[Agent].[(All)]" sourceCaption="(All)" count="0"/>
        <level uniqueName="[pwc callcenter].[Agent].[Agent]" sourceCaption="Agent" count="8">
          <ranges>
            <range startItem="0">
              <i n="[pwc callcenter].[Agent].&amp;[Becky]" c="Becky"/>
              <i n="[pwc callcenter].[Agent].&amp;[Dan]" c="Dan"/>
              <i n="[pwc callcenter].[Agent].&amp;[Diane]" c="Diane"/>
              <i n="[pwc callcenter].[Agent].&amp;[Greg]" c="Greg"/>
              <i n="[pwc callcenter].[Agent].&amp;[Jim]" c="Jim"/>
              <i n="[pwc callcenter].[Agent].&amp;[Joe]" c="Joe"/>
              <i n="[pwc callcenter].[Agent].&amp;[Martha]" c="Martha"/>
              <i n="[pwc callcenter].[Agent].&amp;[Stewart]" c="Stewart"/>
            </range>
          </ranges>
        </level>
      </levels>
      <selections count="1">
        <selection n="[pwc callcenter].[Ag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xr10:uid="{661A4498-61F0-4C5B-AF31-0FCC6D920420}" cache="Slicer_Topic" caption="Topic" level="1" rowHeight="257175"/>
  <slicer name="Agent" xr10:uid="{898DBA63-8740-45DC-8FB6-7C2A3566E4CE}" cache="Slicer_Agent" caption="Agent"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1" xr10:uid="{267B6C6A-E100-43A7-96A7-7CFB7A00608F}" cache="Slicer_Topic" caption="Topic" showCaption="0" level="1" style="Slicer Style 1" rowHeight="257175"/>
  <slicer name="Agent 1" xr10:uid="{ADB12999-6E3F-4167-B9B7-854C1A6EF22A}" cache="Slicer_Agent" caption="Agent" showCaption="0" level="1" style="Slicer Style 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2" xr10:uid="{54D84E4B-5010-48A5-8195-582B5A08F45A}" cache="Slicer_Topic" caption="Topic" showCaption="0" level="1" style="Slicer Style 1" rowHeight="257175"/>
  <slicer name="Agent 2" xr10:uid="{44DF3D58-C127-4820-ACFB-722E9E086761}" cache="Slicer_Agent" caption="Agent" showCaption="0" level="1" style="Slicer Style 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ic 4" xr10:uid="{0D94EEB0-55AB-44F8-A31B-7517E1CB328C}" cache="Slicer_Topic" caption="Topic" showCaption="0" level="1" style="Slicer Style 1" rowHeight="257175"/>
  <slicer name="Agent 4" xr10:uid="{1642FB50-7232-45B6-80D9-F69CF0C23A66}" cache="Slicer_Agent" caption="Agent" showCaption="0" level="1" style="Slicer Style 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9CAA-17EB-4B0C-BA84-BF88154D95E9}">
  <sheetPr codeName="Sheet1"/>
  <dimension ref="A1:AI40"/>
  <sheetViews>
    <sheetView topLeftCell="V1" zoomScale="124" workbookViewId="0">
      <selection activeCell="AH9" sqref="AH9"/>
    </sheetView>
  </sheetViews>
  <sheetFormatPr defaultRowHeight="15" x14ac:dyDescent="0.25"/>
  <cols>
    <col min="1" max="1" width="13.42578125" bestFit="1" customWidth="1"/>
    <col min="2" max="3" width="9.7109375" bestFit="1" customWidth="1"/>
    <col min="8" max="8" width="13.42578125" bestFit="1" customWidth="1"/>
    <col min="9" max="9" width="17.42578125" bestFit="1" customWidth="1"/>
    <col min="12" max="12" width="21.42578125" bestFit="1" customWidth="1"/>
    <col min="13" max="13" width="18.42578125" customWidth="1"/>
    <col min="15" max="15" width="13.42578125" bestFit="1" customWidth="1"/>
    <col min="16" max="16" width="9.7109375" bestFit="1" customWidth="1"/>
    <col min="19" max="19" width="14.140625" bestFit="1" customWidth="1"/>
    <col min="20" max="20" width="9.7109375" bestFit="1" customWidth="1"/>
    <col min="26" max="26" width="13.42578125" bestFit="1" customWidth="1"/>
    <col min="27" max="28" width="9.7109375" bestFit="1" customWidth="1"/>
    <col min="30" max="30" width="13.42578125" bestFit="1" customWidth="1"/>
    <col min="31" max="31" width="9.7109375" bestFit="1" customWidth="1"/>
    <col min="34" max="34" width="13.42578125" bestFit="1" customWidth="1"/>
    <col min="35" max="35" width="9.7109375" bestFit="1" customWidth="1"/>
    <col min="36" max="36" width="13.5703125" bestFit="1" customWidth="1"/>
  </cols>
  <sheetData>
    <row r="1" spans="1:35" x14ac:dyDescent="0.25">
      <c r="A1" s="5" t="s">
        <v>11</v>
      </c>
    </row>
    <row r="2" spans="1:35" x14ac:dyDescent="0.25">
      <c r="A2" s="5">
        <v>3.4264150943396228</v>
      </c>
      <c r="S2" s="2" t="s">
        <v>12</v>
      </c>
      <c r="T2" s="5" t="s">
        <v>0</v>
      </c>
    </row>
    <row r="3" spans="1:35" x14ac:dyDescent="0.25">
      <c r="S3" s="8" t="s">
        <v>27</v>
      </c>
      <c r="T3" s="1">
        <v>976</v>
      </c>
    </row>
    <row r="4" spans="1:35" x14ac:dyDescent="0.25">
      <c r="H4" t="s">
        <v>0</v>
      </c>
      <c r="L4" s="5" t="s">
        <v>11</v>
      </c>
    </row>
    <row r="5" spans="1:35" x14ac:dyDescent="0.25">
      <c r="H5" s="1">
        <v>976</v>
      </c>
      <c r="J5">
        <f>GETPIVOTDATA("[Measures].[total calls]",$H$4)</f>
        <v>976</v>
      </c>
      <c r="L5" s="5">
        <v>3.4264150943396228</v>
      </c>
      <c r="N5" s="5">
        <f>GETPIVOTDATA("[Measures].[avg satisfaction rating ]",$L$4)</f>
        <v>3.4264150943396228</v>
      </c>
    </row>
    <row r="8" spans="1:35" x14ac:dyDescent="0.25">
      <c r="H8" s="3"/>
      <c r="I8" s="3"/>
      <c r="J8" s="3"/>
      <c r="Z8" s="2" t="s">
        <v>12</v>
      </c>
      <c r="AA8" s="5" t="s">
        <v>0</v>
      </c>
      <c r="AD8" s="2" t="s">
        <v>12</v>
      </c>
      <c r="AE8" s="5" t="s">
        <v>0</v>
      </c>
    </row>
    <row r="9" spans="1:35" x14ac:dyDescent="0.25">
      <c r="Z9" s="8">
        <v>1</v>
      </c>
      <c r="AA9" s="5">
        <v>36</v>
      </c>
      <c r="AD9" s="8" t="s">
        <v>3</v>
      </c>
      <c r="AE9" s="5">
        <v>141</v>
      </c>
      <c r="AH9" s="2" t="s">
        <v>12</v>
      </c>
      <c r="AI9" s="5" t="s">
        <v>0</v>
      </c>
    </row>
    <row r="10" spans="1:35" x14ac:dyDescent="0.25">
      <c r="H10" t="s">
        <v>1</v>
      </c>
      <c r="Z10" s="8">
        <v>2</v>
      </c>
      <c r="AA10" s="5">
        <v>25</v>
      </c>
      <c r="AD10" s="8" t="s">
        <v>6</v>
      </c>
      <c r="AE10" s="5">
        <v>169</v>
      </c>
      <c r="AH10" s="8" t="s">
        <v>25</v>
      </c>
      <c r="AI10" s="1">
        <v>336</v>
      </c>
    </row>
    <row r="11" spans="1:35" x14ac:dyDescent="0.25">
      <c r="H11" s="1">
        <v>8</v>
      </c>
      <c r="J11">
        <f>GETPIVOTDATA("[Measures].[nom of egent]",$H$10)</f>
        <v>8</v>
      </c>
      <c r="Z11" s="8">
        <v>3</v>
      </c>
      <c r="AA11" s="5">
        <v>36</v>
      </c>
      <c r="AD11" s="8" t="s">
        <v>4</v>
      </c>
      <c r="AE11" s="5">
        <v>142</v>
      </c>
      <c r="AH11" s="8" t="s">
        <v>24</v>
      </c>
      <c r="AI11" s="1">
        <v>325</v>
      </c>
    </row>
    <row r="12" spans="1:35" x14ac:dyDescent="0.25">
      <c r="Z12" s="8">
        <v>4</v>
      </c>
      <c r="AA12" s="5">
        <v>42</v>
      </c>
      <c r="AC12" t="s">
        <v>23</v>
      </c>
      <c r="AD12" s="8" t="s">
        <v>5</v>
      </c>
      <c r="AE12" s="5">
        <v>133</v>
      </c>
      <c r="AH12" s="8" t="s">
        <v>26</v>
      </c>
      <c r="AI12" s="1">
        <v>315</v>
      </c>
    </row>
    <row r="13" spans="1:35" x14ac:dyDescent="0.25">
      <c r="Z13" s="8">
        <v>5</v>
      </c>
      <c r="AA13" s="5">
        <v>36</v>
      </c>
      <c r="AD13" s="8" t="s">
        <v>9</v>
      </c>
      <c r="AE13" s="5">
        <v>137</v>
      </c>
    </row>
    <row r="14" spans="1:35" x14ac:dyDescent="0.25">
      <c r="H14" s="3"/>
      <c r="I14" s="3"/>
      <c r="J14" s="3"/>
      <c r="Z14" s="8">
        <v>6</v>
      </c>
      <c r="AA14" s="5">
        <v>36</v>
      </c>
      <c r="AD14" s="8" t="s">
        <v>7</v>
      </c>
      <c r="AE14" s="5">
        <v>124</v>
      </c>
    </row>
    <row r="15" spans="1:35" x14ac:dyDescent="0.25">
      <c r="Z15" s="8">
        <v>7</v>
      </c>
      <c r="AA15" s="5">
        <v>41</v>
      </c>
      <c r="AD15" s="8" t="s">
        <v>8</v>
      </c>
      <c r="AE15" s="5">
        <v>130</v>
      </c>
    </row>
    <row r="16" spans="1:35" x14ac:dyDescent="0.25">
      <c r="Z16" s="8">
        <v>8</v>
      </c>
      <c r="AA16" s="5">
        <v>32</v>
      </c>
    </row>
    <row r="17" spans="2:27" x14ac:dyDescent="0.25">
      <c r="H17" s="4" t="s">
        <v>2</v>
      </c>
      <c r="O17" s="9" t="s">
        <v>12</v>
      </c>
      <c r="P17" s="1" t="s">
        <v>0</v>
      </c>
      <c r="Z17" s="8">
        <v>9</v>
      </c>
      <c r="AA17" s="5">
        <v>38</v>
      </c>
    </row>
    <row r="18" spans="2:27" x14ac:dyDescent="0.25">
      <c r="H18" s="5">
        <v>2.0983564814814821</v>
      </c>
      <c r="J18" s="5">
        <f>GETPIVOTDATA("[Measures].[total duration]",$H$17)</f>
        <v>2.0983564814814821</v>
      </c>
      <c r="O18" s="10" t="s">
        <v>13</v>
      </c>
      <c r="P18" s="1">
        <v>121</v>
      </c>
      <c r="Z18" s="8">
        <v>10</v>
      </c>
      <c r="AA18" s="5">
        <v>30</v>
      </c>
    </row>
    <row r="19" spans="2:27" x14ac:dyDescent="0.25">
      <c r="O19" s="10" t="s">
        <v>14</v>
      </c>
      <c r="P19" s="1">
        <v>108</v>
      </c>
      <c r="Z19" s="8">
        <v>11</v>
      </c>
      <c r="AA19" s="5">
        <v>46</v>
      </c>
    </row>
    <row r="20" spans="2:27" x14ac:dyDescent="0.25">
      <c r="O20" s="10" t="s">
        <v>15</v>
      </c>
      <c r="P20" s="1">
        <v>134</v>
      </c>
      <c r="Z20" s="8">
        <v>12</v>
      </c>
      <c r="AA20" s="5">
        <v>28</v>
      </c>
    </row>
    <row r="21" spans="2:27" x14ac:dyDescent="0.25">
      <c r="H21" s="3"/>
      <c r="I21" s="3"/>
      <c r="J21" s="3"/>
      <c r="O21" s="10" t="s">
        <v>16</v>
      </c>
      <c r="P21" s="1">
        <v>130</v>
      </c>
      <c r="Z21" s="8">
        <v>13</v>
      </c>
      <c r="AA21" s="5">
        <v>31</v>
      </c>
    </row>
    <row r="22" spans="2:27" x14ac:dyDescent="0.25">
      <c r="O22" s="10" t="s">
        <v>17</v>
      </c>
      <c r="P22" s="1">
        <v>142</v>
      </c>
      <c r="Z22" s="8">
        <v>14</v>
      </c>
      <c r="AA22" s="5">
        <v>26</v>
      </c>
    </row>
    <row r="23" spans="2:27" x14ac:dyDescent="0.25">
      <c r="O23" s="10" t="s">
        <v>18</v>
      </c>
      <c r="P23" s="1">
        <v>120</v>
      </c>
      <c r="Z23" s="8">
        <v>15</v>
      </c>
      <c r="AA23" s="5">
        <v>39</v>
      </c>
    </row>
    <row r="24" spans="2:27" x14ac:dyDescent="0.25">
      <c r="H24" s="5" t="s">
        <v>10</v>
      </c>
      <c r="O24" s="10" t="s">
        <v>19</v>
      </c>
      <c r="P24" s="1">
        <v>114</v>
      </c>
      <c r="Z24" s="8">
        <v>16</v>
      </c>
      <c r="AA24" s="5">
        <v>25</v>
      </c>
    </row>
    <row r="25" spans="2:27" x14ac:dyDescent="0.25">
      <c r="H25" s="5">
        <v>7.7520987545367266</v>
      </c>
      <c r="J25" s="5">
        <f>GETPIVOTDATA("[Measures].[avg handling time ]",$H$24)</f>
        <v>7.7520987545367266</v>
      </c>
      <c r="L25" s="5">
        <f>GETPIVOTDATA("[Measures].[avg handling time ]",$H$24)</f>
        <v>7.7520987545367266</v>
      </c>
      <c r="O25" s="10" t="s">
        <v>20</v>
      </c>
      <c r="P25" s="1">
        <v>107</v>
      </c>
      <c r="Z25" s="8">
        <v>17</v>
      </c>
      <c r="AA25" s="5">
        <v>31</v>
      </c>
    </row>
    <row r="26" spans="2:27" x14ac:dyDescent="0.25">
      <c r="Z26" s="8">
        <v>18</v>
      </c>
      <c r="AA26" s="5">
        <v>35</v>
      </c>
    </row>
    <row r="27" spans="2:27" x14ac:dyDescent="0.25">
      <c r="Z27" s="8">
        <v>19</v>
      </c>
      <c r="AA27" s="5">
        <v>29</v>
      </c>
    </row>
    <row r="28" spans="2:27" x14ac:dyDescent="0.25">
      <c r="B28" s="2" t="s">
        <v>12</v>
      </c>
      <c r="C28" s="5" t="s">
        <v>0</v>
      </c>
      <c r="Z28" s="8">
        <v>20</v>
      </c>
      <c r="AA28" s="5">
        <v>29</v>
      </c>
    </row>
    <row r="29" spans="2:27" x14ac:dyDescent="0.25">
      <c r="B29" s="8" t="s">
        <v>21</v>
      </c>
      <c r="C29" s="1">
        <v>181</v>
      </c>
      <c r="Z29" s="8">
        <v>21</v>
      </c>
      <c r="AA29" s="5">
        <v>27</v>
      </c>
    </row>
    <row r="30" spans="2:27" x14ac:dyDescent="0.25">
      <c r="B30" s="8" t="s">
        <v>22</v>
      </c>
      <c r="C30" s="1">
        <v>795</v>
      </c>
      <c r="H30" s="2" t="s">
        <v>12</v>
      </c>
      <c r="I30" s="5" t="s">
        <v>10</v>
      </c>
      <c r="Z30" s="8">
        <v>22</v>
      </c>
      <c r="AA30" s="5">
        <v>37</v>
      </c>
    </row>
    <row r="31" spans="2:27" x14ac:dyDescent="0.25">
      <c r="H31" s="8" t="s">
        <v>13</v>
      </c>
      <c r="I31" s="5">
        <v>7.7678213187107126</v>
      </c>
      <c r="Z31" s="8">
        <v>23</v>
      </c>
      <c r="AA31" s="5">
        <v>34</v>
      </c>
    </row>
    <row r="32" spans="2:27" x14ac:dyDescent="0.25">
      <c r="H32" s="8" t="s">
        <v>14</v>
      </c>
      <c r="I32" s="5">
        <v>7.7542879936178695</v>
      </c>
      <c r="Z32" s="8">
        <v>24</v>
      </c>
      <c r="AA32" s="5">
        <v>25</v>
      </c>
    </row>
    <row r="33" spans="1:27" x14ac:dyDescent="0.25">
      <c r="H33" s="8" t="s">
        <v>15</v>
      </c>
      <c r="I33" s="5">
        <v>8.0136218281490077</v>
      </c>
      <c r="Z33" s="8">
        <v>25</v>
      </c>
      <c r="AA33" s="5">
        <v>40</v>
      </c>
    </row>
    <row r="34" spans="1:27" x14ac:dyDescent="0.25">
      <c r="H34" s="8" t="s">
        <v>16</v>
      </c>
      <c r="I34" s="5">
        <v>8.1611300026157494</v>
      </c>
      <c r="Z34" s="8">
        <v>26</v>
      </c>
      <c r="AA34" s="5">
        <v>25</v>
      </c>
    </row>
    <row r="35" spans="1:27" x14ac:dyDescent="0.25">
      <c r="H35" s="8" t="s">
        <v>17</v>
      </c>
      <c r="I35" s="5">
        <v>7.6309896999552151</v>
      </c>
      <c r="Z35" s="8">
        <v>27</v>
      </c>
      <c r="AA35" s="5">
        <v>34</v>
      </c>
    </row>
    <row r="36" spans="1:27" x14ac:dyDescent="0.25">
      <c r="H36" s="8" t="s">
        <v>18</v>
      </c>
      <c r="I36" s="5">
        <v>8.011869436201783</v>
      </c>
      <c r="Z36" s="8">
        <v>28</v>
      </c>
      <c r="AA36" s="5">
        <v>31</v>
      </c>
    </row>
    <row r="37" spans="1:27" x14ac:dyDescent="0.25">
      <c r="H37" s="8" t="s">
        <v>19</v>
      </c>
      <c r="I37" s="5">
        <v>7.8888942284588417</v>
      </c>
      <c r="Z37" s="8">
        <v>29</v>
      </c>
      <c r="AA37" s="5">
        <v>24</v>
      </c>
    </row>
    <row r="38" spans="1:27" x14ac:dyDescent="0.25">
      <c r="A38" s="2" t="s">
        <v>12</v>
      </c>
      <c r="B38" s="5" t="s">
        <v>0</v>
      </c>
      <c r="H38" s="8" t="s">
        <v>20</v>
      </c>
      <c r="I38" s="5">
        <v>6.8113699659608349</v>
      </c>
      <c r="Z38" s="8">
        <v>30</v>
      </c>
      <c r="AA38" s="5">
        <v>19</v>
      </c>
    </row>
    <row r="39" spans="1:27" x14ac:dyDescent="0.25">
      <c r="A39" s="8" t="s">
        <v>21</v>
      </c>
      <c r="B39" s="1">
        <v>253</v>
      </c>
      <c r="D39" t="str">
        <f>A39</f>
        <v>N</v>
      </c>
      <c r="E39">
        <f>GETPIVOTDATA("[Measures].[total calls]",$A$38,"[pwc callcenter].[Resolved]","[pwc callcenter].[Resolved].&amp;[N]")</f>
        <v>253</v>
      </c>
      <c r="Z39" s="8">
        <v>31</v>
      </c>
      <c r="AA39" s="5">
        <v>9</v>
      </c>
    </row>
    <row r="40" spans="1:27" x14ac:dyDescent="0.25">
      <c r="A40" s="8" t="s">
        <v>22</v>
      </c>
      <c r="B40" s="1">
        <v>723</v>
      </c>
      <c r="D40" t="str">
        <f>A40</f>
        <v>Y</v>
      </c>
      <c r="E40">
        <f>GETPIVOTDATA("[Measures].[total calls]",$A$38,"[pwc callcenter].[Resolved]","[pwc callcenter].[Resolved].&amp;[Y]")</f>
        <v>723</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83C3F-CA06-4B3A-A486-413C474F26D6}">
  <sheetPr codeName="Sheet2"/>
  <dimension ref="A1"/>
  <sheetViews>
    <sheetView tabSelected="1" zoomScale="70" zoomScaleNormal="70" workbookViewId="0"/>
  </sheetViews>
  <sheetFormatPr defaultRowHeight="15" x14ac:dyDescent="0.25"/>
  <cols>
    <col min="1" max="16384" width="9.140625" style="7"/>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B5AAD-C424-4B60-B28D-1031B6BE4D0B}">
  <sheetPr codeName="Sheet3"/>
  <dimension ref="A1"/>
  <sheetViews>
    <sheetView zoomScale="70" zoomScaleNormal="70" workbookViewId="0"/>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E4D0F-BD24-4FE1-A224-D4551F0E0061}">
  <sheetPr codeName="Sheet4"/>
  <dimension ref="A1"/>
  <sheetViews>
    <sheetView zoomScale="70" zoomScaleNormal="70" workbookViewId="0"/>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374CE-DEDD-46CD-9240-09014A56F1C5}">
  <dimension ref="A1"/>
  <sheetViews>
    <sheetView zoomScale="70" zoomScaleNormal="70" workbookViewId="0">
      <selection activeCell="T41" sqref="T41"/>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ct:contentTypeSchema xmlns:ct="http://schemas.microsoft.com/office/2006/metadata/contentType" xmlns:ma="http://schemas.microsoft.com/office/2006/metadata/properties/metaAttributes" ct:_="" ma:_="" ma:contentTypeName="Document" ma:contentTypeID="0x010100232EA6E83F64D746B074F48A907853F4" ma:contentTypeVersion="4" ma:contentTypeDescription="Create a new document." ma:contentTypeScope="" ma:versionID="75b1f1bb94f70c7c24acae0e8f40008c">
  <xsd:schema xmlns:xsd="http://www.w3.org/2001/XMLSchema" xmlns:xs="http://www.w3.org/2001/XMLSchema" xmlns:p="http://schemas.microsoft.com/office/2006/metadata/properties" xmlns:ns3="1b8cb9c1-fe2d-4014-8136-86ac66c6b4bb" targetNamespace="http://schemas.microsoft.com/office/2006/metadata/properties" ma:root="true" ma:fieldsID="9af072126f221fa6656eabbaef49b2bc" ns3:_="">
    <xsd:import namespace="1b8cb9c1-fe2d-4014-8136-86ac66c6b4b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8cb9c1-fe2d-4014-8136-86ac66c6b4b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p:properties>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xml version="1.0" encoding="utf-8"?>
<?mso-contentType ?>
<FormTemplates xmlns="http://schemas.microsoft.com/sharepoint/v3/contenttype/forms">
  <Display>DocumentLibraryForm</Display>
  <Edit>DocumentLibraryForm</Edit>
  <New>DocumentLibraryForm</New>
</FormTemplates>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BAD3106A-AED4-4EC7-84C1-CFD60C0D18D7}">
  <ds:schemaRefs/>
</ds:datastoreItem>
</file>

<file path=customXml/itemProps2.xml><?xml version="1.0" encoding="utf-8"?>
<ds:datastoreItem xmlns:ds="http://schemas.openxmlformats.org/officeDocument/2006/customXml" ds:itemID="{4AE9D8C6-6E75-4E12-A26B-80C896231D69}">
  <ds:schemaRefs/>
</ds:datastoreItem>
</file>

<file path=customXml/itemProps3.xml><?xml version="1.0" encoding="utf-8"?>
<ds:datastoreItem xmlns:ds="http://schemas.openxmlformats.org/officeDocument/2006/customXml" ds:itemID="{A13F6A09-6238-4882-856F-D0D584511616}">
  <ds:schemaRefs/>
</ds:datastoreItem>
</file>

<file path=customXml/itemProps4.xml><?xml version="1.0" encoding="utf-8"?>
<ds:datastoreItem xmlns:ds="http://schemas.openxmlformats.org/officeDocument/2006/customXml" ds:itemID="{57C79F4F-C041-4179-B0AB-4628BA9C1BF9}">
  <ds:schemaRefs/>
</ds:datastoreItem>
</file>

<file path=customXml/itemProps5.xml><?xml version="1.0" encoding="utf-8"?>
<ds:datastoreItem xmlns:ds="http://schemas.openxmlformats.org/officeDocument/2006/customXml" ds:itemID="{BDBADDEF-110E-463C-9838-0BA45148416F}">
  <ds:schemaRefs/>
</ds:datastoreItem>
</file>

<file path=customXml/itemProps6.xml><?xml version="1.0" encoding="utf-8"?>
<ds:datastoreItem xmlns:ds="http://schemas.openxmlformats.org/officeDocument/2006/customXml" ds:itemID="{63CAA6F6-FD2B-415C-B365-A6C474894809}">
  <ds:schemaRefs/>
</ds:datastoreItem>
</file>

<file path=customXml/itemProps7.xml><?xml version="1.0" encoding="utf-8"?>
<ds:datastoreItem xmlns:ds="http://schemas.openxmlformats.org/officeDocument/2006/customXml" ds:itemID="{616C997E-3865-4A01-B7E7-5E05AC556D8A}">
  <ds:schemaRefs/>
</ds:datastoreItem>
</file>

<file path=customXml/itemProps8.xml><?xml version="1.0" encoding="utf-8"?>
<ds:datastoreItem xmlns:ds="http://schemas.openxmlformats.org/officeDocument/2006/customXml" ds:itemID="{5E629D5C-7205-4E1B-B250-DEA5608FD6D9}">
  <ds:schemaRefs/>
</ds:datastoreItem>
</file>

<file path=customXml/itemProps9.xml><?xml version="1.0" encoding="utf-8"?>
<ds:datastoreItem xmlns:ds="http://schemas.openxmlformats.org/officeDocument/2006/customXml" ds:itemID="{6CAB1A1B-D8F1-40A4-9A8C-59B57B88AF31}">
  <ds:schemaRefs/>
</ds:datastoreItem>
</file>

<file path=customXml/itemProps10.xml><?xml version="1.0" encoding="utf-8"?>
<ds:datastoreItem xmlns:ds="http://schemas.openxmlformats.org/officeDocument/2006/customXml" ds:itemID="{7B81A310-F506-4FD5-AD0C-47CAE4FF7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8cb9c1-fe2d-4014-8136-86ac66c6b4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1.xml><?xml version="1.0" encoding="utf-8"?>
<ds:datastoreItem xmlns:ds="http://schemas.openxmlformats.org/officeDocument/2006/customXml" ds:itemID="{6298C40C-0DF1-407D-A7D7-F00B81420722}">
  <ds:schemaRefs>
    <ds:schemaRef ds:uri="http://schemas.microsoft.com/DataMashup"/>
  </ds:schemaRefs>
</ds:datastoreItem>
</file>

<file path=customXml/itemProps12.xml><?xml version="1.0" encoding="utf-8"?>
<ds:datastoreItem xmlns:ds="http://schemas.openxmlformats.org/officeDocument/2006/customXml" ds:itemID="{D20CA561-F43E-4E78-BA1B-84C939395A83}">
  <ds:schemaRefs>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1b8cb9c1-fe2d-4014-8136-86ac66c6b4bb"/>
    <ds:schemaRef ds:uri="http://schemas.microsoft.com/office/2006/metadata/properties"/>
    <ds:schemaRef ds:uri="http://www.w3.org/XML/1998/namespace"/>
    <ds:schemaRef ds:uri="http://purl.org/dc/dcmitype/"/>
    <ds:schemaRef ds:uri="http://purl.org/dc/terms/"/>
  </ds:schemaRefs>
</ds:datastoreItem>
</file>

<file path=customXml/itemProps13.xml><?xml version="1.0" encoding="utf-8"?>
<ds:datastoreItem xmlns:ds="http://schemas.openxmlformats.org/officeDocument/2006/customXml" ds:itemID="{E944F8EE-730E-4378-A66B-4D5CDD234A87}">
  <ds:schemaRefs/>
</ds:datastoreItem>
</file>

<file path=customXml/itemProps14.xml><?xml version="1.0" encoding="utf-8"?>
<ds:datastoreItem xmlns:ds="http://schemas.openxmlformats.org/officeDocument/2006/customXml" ds:itemID="{C38DC32D-C023-44F7-95FD-A755F126BF0D}">
  <ds:schemaRefs/>
</ds:datastoreItem>
</file>

<file path=customXml/itemProps15.xml><?xml version="1.0" encoding="utf-8"?>
<ds:datastoreItem xmlns:ds="http://schemas.openxmlformats.org/officeDocument/2006/customXml" ds:itemID="{04AF9DCB-A8FF-49F8-BD00-164EBF86532A}">
  <ds:schemaRefs/>
</ds:datastoreItem>
</file>

<file path=customXml/itemProps16.xml><?xml version="1.0" encoding="utf-8"?>
<ds:datastoreItem xmlns:ds="http://schemas.openxmlformats.org/officeDocument/2006/customXml" ds:itemID="{F6E3880A-CAE5-4E4C-9F4F-6291DDB884AE}">
  <ds:schemaRefs/>
</ds:datastoreItem>
</file>

<file path=customXml/itemProps17.xml><?xml version="1.0" encoding="utf-8"?>
<ds:datastoreItem xmlns:ds="http://schemas.openxmlformats.org/officeDocument/2006/customXml" ds:itemID="{FB618099-7A41-4C91-AEB1-F6F55BED0445}">
  <ds:schemaRefs/>
</ds:datastoreItem>
</file>

<file path=customXml/itemProps18.xml><?xml version="1.0" encoding="utf-8"?>
<ds:datastoreItem xmlns:ds="http://schemas.openxmlformats.org/officeDocument/2006/customXml" ds:itemID="{FC611326-E3A8-4F74-A09E-7A806DDDB8EA}">
  <ds:schemaRefs/>
</ds:datastoreItem>
</file>

<file path=customXml/itemProps19.xml><?xml version="1.0" encoding="utf-8"?>
<ds:datastoreItem xmlns:ds="http://schemas.openxmlformats.org/officeDocument/2006/customXml" ds:itemID="{0771610A-B032-4D44-9895-F5A90ABAB21B}">
  <ds:schemaRefs/>
</ds:datastoreItem>
</file>

<file path=customXml/itemProps20.xml><?xml version="1.0" encoding="utf-8"?>
<ds:datastoreItem xmlns:ds="http://schemas.openxmlformats.org/officeDocument/2006/customXml" ds:itemID="{70F1662D-9C94-4ACA-9F01-8AFB887E67AE}">
  <ds:schemaRefs/>
</ds:datastoreItem>
</file>

<file path=customXml/itemProps21.xml><?xml version="1.0" encoding="utf-8"?>
<ds:datastoreItem xmlns:ds="http://schemas.openxmlformats.org/officeDocument/2006/customXml" ds:itemID="{1E0C7CE8-5FC6-4CA1-BCC0-67D79C43B229}">
  <ds:schemaRefs/>
</ds:datastoreItem>
</file>

<file path=customXml/itemProps22.xml><?xml version="1.0" encoding="utf-8"?>
<ds:datastoreItem xmlns:ds="http://schemas.openxmlformats.org/officeDocument/2006/customXml" ds:itemID="{99724985-AB4E-4F23-96B5-7F9D4B86A618}">
  <ds:schemaRefs/>
</ds:datastoreItem>
</file>

<file path=customXml/itemProps23.xml><?xml version="1.0" encoding="utf-8"?>
<ds:datastoreItem xmlns:ds="http://schemas.openxmlformats.org/officeDocument/2006/customXml" ds:itemID="{B8BB08DF-7C92-4161-BC39-12C0A3CBBF74}">
  <ds:schemaRefs/>
</ds:datastoreItem>
</file>

<file path=customXml/itemProps24.xml><?xml version="1.0" encoding="utf-8"?>
<ds:datastoreItem xmlns:ds="http://schemas.openxmlformats.org/officeDocument/2006/customXml" ds:itemID="{81316508-C116-49CA-A32E-12065500E5EE}">
  <ds:schemaRefs/>
</ds:datastoreItem>
</file>

<file path=customXml/itemProps25.xml><?xml version="1.0" encoding="utf-8"?>
<ds:datastoreItem xmlns:ds="http://schemas.openxmlformats.org/officeDocument/2006/customXml" ds:itemID="{F963CA21-D036-490E-90EC-B30017B3C7B2}">
  <ds:schemaRefs/>
</ds:datastoreItem>
</file>

<file path=customXml/itemProps26.xml><?xml version="1.0" encoding="utf-8"?>
<ds:datastoreItem xmlns:ds="http://schemas.openxmlformats.org/officeDocument/2006/customXml" ds:itemID="{32AD216B-A104-4924-AC2C-CDA47E0F1DDB}">
  <ds:schemaRefs/>
</ds:datastoreItem>
</file>

<file path=customXml/itemProps27.xml><?xml version="1.0" encoding="utf-8"?>
<ds:datastoreItem xmlns:ds="http://schemas.openxmlformats.org/officeDocument/2006/customXml" ds:itemID="{808D8FFF-721E-48F6-8FE6-8E3365BC011C}">
  <ds:schemaRefs/>
</ds:datastoreItem>
</file>

<file path=customXml/itemProps28.xml><?xml version="1.0" encoding="utf-8"?>
<ds:datastoreItem xmlns:ds="http://schemas.openxmlformats.org/officeDocument/2006/customXml" ds:itemID="{0F9839B1-14A2-4000-A0A8-FACE9066C895}">
  <ds:schemaRefs/>
</ds:datastoreItem>
</file>

<file path=customXml/itemProps29.xml><?xml version="1.0" encoding="utf-8"?>
<ds:datastoreItem xmlns:ds="http://schemas.openxmlformats.org/officeDocument/2006/customXml" ds:itemID="{41EBC549-3E5E-418D-98BE-5A29EA2120B0}">
  <ds:schemaRefs>
    <ds:schemaRef ds:uri="http://schemas.microsoft.com/sharepoint/v3/contenttype/forms"/>
  </ds:schemaRefs>
</ds:datastoreItem>
</file>

<file path=customXml/itemProps30.xml><?xml version="1.0" encoding="utf-8"?>
<ds:datastoreItem xmlns:ds="http://schemas.openxmlformats.org/officeDocument/2006/customXml" ds:itemID="{28A72319-1EF6-40A5-B87B-53D932275C82}">
  <ds:schemaRefs/>
</ds:datastoreItem>
</file>

<file path=customXml/itemProps31.xml><?xml version="1.0" encoding="utf-8"?>
<ds:datastoreItem xmlns:ds="http://schemas.openxmlformats.org/officeDocument/2006/customXml" ds:itemID="{9ABD1646-1AEB-4771-BDB8-F4E3E88314D5}">
  <ds:schemaRefs/>
</ds:datastoreItem>
</file>

<file path=customXml/itemProps32.xml><?xml version="1.0" encoding="utf-8"?>
<ds:datastoreItem xmlns:ds="http://schemas.openxmlformats.org/officeDocument/2006/customXml" ds:itemID="{5664F286-EBD1-4816-9D9F-F23E4E000B06}">
  <ds:schemaRefs/>
</ds:datastoreItem>
</file>

<file path=customXml/itemProps33.xml><?xml version="1.0" encoding="utf-8"?>
<ds:datastoreItem xmlns:ds="http://schemas.openxmlformats.org/officeDocument/2006/customXml" ds:itemID="{8CF04C94-33B9-4396-9C98-2733B61AC032}">
  <ds:schemaRefs/>
</ds:datastoreItem>
</file>

<file path=customXml/itemProps34.xml><?xml version="1.0" encoding="utf-8"?>
<ds:datastoreItem xmlns:ds="http://schemas.openxmlformats.org/officeDocument/2006/customXml" ds:itemID="{EC3FB70A-A7D4-43D2-B24F-31F9769789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pivit tables</vt:lpstr>
      <vt:lpstr>Home Page</vt:lpstr>
      <vt:lpstr>overview</vt:lpstr>
      <vt:lpstr>time analysis</vt:lpstr>
      <vt:lpstr>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 Ahmed Mohamed Ali El Sayed</dc:creator>
  <cp:lastModifiedBy>Sama Ahmed Mohamed Ali El Sayed</cp:lastModifiedBy>
  <dcterms:created xsi:type="dcterms:W3CDTF">2026-06-19T15:21:21Z</dcterms:created>
  <dcterms:modified xsi:type="dcterms:W3CDTF">2026-06-26T19:08:30Z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0x010100232EA6E83F64D746B074F48A907853F4</vt:lpwstr>
  </property>
</Properties>
</file>